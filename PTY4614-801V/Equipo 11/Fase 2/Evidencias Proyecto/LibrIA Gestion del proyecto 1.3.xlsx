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4"/>
    <sheet state="visible" name="EDT" sheetId="2" r:id="rId5"/>
    <sheet state="visible" name="Diagrama EDT" sheetId="3" r:id="rId6"/>
    <sheet state="visible" name="Roles" sheetId="4" r:id="rId7"/>
    <sheet state="visible" name="RACI" sheetId="5" r:id="rId8"/>
    <sheet state="visible" name="Gantt" sheetId="6" r:id="rId9"/>
    <sheet state="visible" name="Criterios de riesgo" sheetId="7" r:id="rId10"/>
    <sheet state="visible" name="Registro de riesgos" sheetId="8" r:id="rId11"/>
    <sheet state="visible" name="Mapa de calor" sheetId="9" r:id="rId12"/>
    <sheet state="visible" name="RBS" sheetId="10" r:id="rId13"/>
  </sheets>
  <definedNames>
    <definedName hidden="1" localSheetId="7" name="_xlnm._FilterDatabase">'Registro de riesgos'!$A$4:$S$24</definedName>
  </definedNames>
  <calcPr/>
  <extLst>
    <ext uri="GoogleSheetsCustomDataVersion2">
      <go:sheetsCustomData xmlns:go="http://customooxmlschemas.google.com/" r:id="rId14" roundtripDataChecksum="dGOmBq8DG/BoezkxlypYZ88ZXnk/cbJkzz0bsMuD2jE="/>
    </ext>
  </extLst>
</workbook>
</file>

<file path=xl/sharedStrings.xml><?xml version="1.0" encoding="utf-8"?>
<sst xmlns="http://schemas.openxmlformats.org/spreadsheetml/2006/main" count="739" uniqueCount="388">
  <si>
    <t>Roles y responsabilidades</t>
  </si>
  <si>
    <t>Estructura de desglose del trabajo (EDT)</t>
  </si>
  <si>
    <t>LibrIA — Gestión del proyecto</t>
  </si>
  <si>
    <t>Rol</t>
  </si>
  <si>
    <t>Diagrama EDT</t>
  </si>
  <si>
    <t>MVP de plataforma web literaria con ETL e IA</t>
  </si>
  <si>
    <t>Versión gráfica de la hoja EDT.</t>
  </si>
  <si>
    <t>Código</t>
  </si>
  <si>
    <t>Integrante</t>
  </si>
  <si>
    <t>Responsabilidades</t>
  </si>
  <si>
    <t>Paquetes donde aprueba (A)</t>
  </si>
  <si>
    <t>Paquetes donde ejecuta (R)</t>
  </si>
  <si>
    <t>Nivel</t>
  </si>
  <si>
    <t>Paquete / entregable</t>
  </si>
  <si>
    <t>Frontend / UX-UI</t>
  </si>
  <si>
    <t>Proyecto</t>
  </si>
  <si>
    <t>Producto esperado</t>
  </si>
  <si>
    <t>Responsable(s) de ejecución (R)</t>
  </si>
  <si>
    <t>Semana inicio</t>
  </si>
  <si>
    <t>Semana fin</t>
  </si>
  <si>
    <t>Josyan Bonnemaison</t>
  </si>
  <si>
    <t>Duración (sem)</t>
  </si>
  <si>
    <t>Fase</t>
  </si>
  <si>
    <t>Predecesora(s)</t>
  </si>
  <si>
    <t>Diseña y construye la interfaz en React, implementa la experiencia de usuario, participa en la integración frontend-backend, visualiza resultados y lidera las pruebas funcionales y la presentación.</t>
  </si>
  <si>
    <t>1.0</t>
  </si>
  <si>
    <t>LibrIA — MVP de plataforma web literaria</t>
  </si>
  <si>
    <t>Duración</t>
  </si>
  <si>
    <t>18 semanas en 3 fases (Fase 1: S1–S6 · Fase 2: S7–S12 · Fase 3: S13–S18)</t>
  </si>
  <si>
    <t>LibrIA — MVP Plataforma Web Literaria</t>
  </si>
  <si>
    <t>MVP integrado con ETL e IA, demostrado en la presentación final</t>
  </si>
  <si>
    <t>Metodología</t>
  </si>
  <si>
    <t>Equipo LibrIA</t>
  </si>
  <si>
    <t>Ágil e incremental, 8 sprints de una a dos semanas gestionados en Jira (10 ago–25 nov 2026)</t>
  </si>
  <si>
    <t>Equipo</t>
  </si>
  <si>
    <t>Josyan Bonnemaison (Frontend / UX-UI) · Nicole Marchant (Backend, Base de Datos, Integraciones, ETL e IA) · Katherine Rubilar (Coordinación de Proyecto / Frontend)</t>
  </si>
  <si>
    <t>Contenido del libro</t>
  </si>
  <si>
    <t>Hoja</t>
  </si>
  <si>
    <t>Qué contiene</t>
  </si>
  <si>
    <t>EDT</t>
  </si>
  <si>
    <t>Estructura de desglose del trabajo: 6 paquetes y 30 entregables con responsables de ejecución (leídos desde la RACI), semanas y predecesoras. Es la fuente de las demás hojas.</t>
  </si>
  <si>
    <t>Backend / Base de Datos, Integraciones, ETL e IA</t>
  </si>
  <si>
    <t>Nicole Marchant</t>
  </si>
  <si>
    <t>Diagrama jerárquico de la EDT, listo para la presentación.</t>
  </si>
  <si>
    <t>Implementa la API en FastAPI, el modelo de datos en PostgreSQL, autenticación, catálogo e integraciones; desde la Fase 2 desarrolla el ETL, las variables analíticas y la integración con IA (Ollama); participa en seguridad, contratos de API y pruebas técnicas.</t>
  </si>
  <si>
    <t>Roles</t>
  </si>
  <si>
    <t>Rol, responsabilidades y número de paquetes donde cada integrante aprueba (A) o ejecuta (R).</t>
  </si>
  <si>
    <t>RACI</t>
  </si>
  <si>
    <t>Quién ejecuta (R), aprueba y rinde cuentas (A), es consultado (C) o informado (I). El control verifica un único A y al menos un R; en Gestión (1.1) exige además que A y R estén separados.</t>
  </si>
  <si>
    <t>Gantt</t>
  </si>
  <si>
    <t>Cronograma de 18 semanas calculado desde la EDT, con responsables de ejecución y predecesoras.</t>
  </si>
  <si>
    <t>Criterios de riesgo</t>
  </si>
  <si>
    <t>Escalas de probabilidad e impacto, clasificación y estrategias de respuesta.</t>
  </si>
  <si>
    <t>Registro de riesgos</t>
  </si>
  <si>
    <t>16 riesgos con puntuación, estrategia, acciones, disparador, responsable y campos de seguimiento de respuesta y riesgo residual.</t>
  </si>
  <si>
    <t>Coordinación de Proyecto / Frontend</t>
  </si>
  <si>
    <t>Mapa de calor</t>
  </si>
  <si>
    <t>Matriz probabilidad × impacto con los riesgos ubicados.</t>
  </si>
  <si>
    <t>RBS</t>
  </si>
  <si>
    <t>Katherine Rubilar</t>
  </si>
  <si>
    <t>Estructura de desglose de riesgos por categoría, en tabla y diagrama.</t>
  </si>
  <si>
    <t>Coordina alcance, planificación, riesgos y seguimiento; aprueba los entregables de ETL e IA y, desde la Fase 2, apoya el desarrollo de las vistas del frontend.</t>
  </si>
  <si>
    <t>Control de versiones</t>
  </si>
  <si>
    <t>Versión</t>
  </si>
  <si>
    <t>Fecha</t>
  </si>
  <si>
    <t>Responsable</t>
  </si>
  <si>
    <t>Comentario</t>
  </si>
  <si>
    <t>1.1</t>
  </si>
  <si>
    <t>Versión inicial: EDT, RACI, Gantt y gestión de riesgos</t>
  </si>
  <si>
    <t>Gestión del proyecto</t>
  </si>
  <si>
    <t>Corrección de gobernanza del MVP: separación R/A, alcance de perfil lector, dependencias del cronograma y seguimiento de riesgos.</t>
  </si>
  <si>
    <t>1.1.1</t>
  </si>
  <si>
    <t>1.2</t>
  </si>
  <si>
    <t>Definición de alcance y backlog del MVP</t>
  </si>
  <si>
    <t>Backlog cerrado del MVP y alcance dentro/fuera</t>
  </si>
  <si>
    <t>RACI: A/R para el dueño de cada área técnica y separación A/R solo en gestión; carga de aprobación rebalanceada. EDT reconectada a la RACI, seguridad transversal S2–S12, fórmula y lista EDT restauradas en el registro.</t>
  </si>
  <si>
    <t>1.3</t>
  </si>
  <si>
    <t>Ajustes de la Fase 2: Nicole ejecuta ETL e IA ; IA local con Ollama (R-08 actualizado).</t>
  </si>
  <si>
    <t>Matriz RACI</t>
  </si>
  <si>
    <t xml:space="preserve">R = ejecuta · A = aprueba y rinde cuentas · A/R = dueño que ejecuta y responde · C = es consultado · I = es informado. </t>
  </si>
  <si>
    <t>Código EDT</t>
  </si>
  <si>
    <t>Josyan Bonnemaison
(Frontend / UX-UI)</t>
  </si>
  <si>
    <t>Nicole Marchant
(Backend / BD / ETL / IA)</t>
  </si>
  <si>
    <t>Katherine Rubilar
(Coordinación / Frontend)</t>
  </si>
  <si>
    <t>Docente guía</t>
  </si>
  <si>
    <t>Control</t>
  </si>
  <si>
    <t>1.1.2</t>
  </si>
  <si>
    <t>Plan de trabajo y carta Gantt</t>
  </si>
  <si>
    <t>Plan de trabajo y Gantt de 18 semanas</t>
  </si>
  <si>
    <t>C</t>
  </si>
  <si>
    <t>1.1.3</t>
  </si>
  <si>
    <t>Asignación de roles y responsabilidades</t>
  </si>
  <si>
    <t>Matriz RACI y definición de roles</t>
  </si>
  <si>
    <t>A</t>
  </si>
  <si>
    <t>R</t>
  </si>
  <si>
    <t>1.1.4</t>
  </si>
  <si>
    <t>Gestión de riesgos</t>
  </si>
  <si>
    <t>Registro de riesgos, RBS y revisiones</t>
  </si>
  <si>
    <t>I</t>
  </si>
  <si>
    <t>1.1.5</t>
  </si>
  <si>
    <t>Seguimiento y control del avance</t>
  </si>
  <si>
    <t>Reuniones de seguimiento y control de cambios</t>
  </si>
  <si>
    <t>1.2.1</t>
  </si>
  <si>
    <t>Análisis y diseño</t>
  </si>
  <si>
    <t>A/R</t>
  </si>
  <si>
    <t>Requerimientos e historias de usuario</t>
  </si>
  <si>
    <t>ERS, historias de usuario y criterios de aceptación</t>
  </si>
  <si>
    <t>1.2.2</t>
  </si>
  <si>
    <t>Carta Gantt — 18 semanas</t>
  </si>
  <si>
    <t>1.2.3</t>
  </si>
  <si>
    <t>Fase 1</t>
  </si>
  <si>
    <t>1.2.4</t>
  </si>
  <si>
    <t>Modelado de procesos (BPMN) y casos de uso</t>
  </si>
  <si>
    <t>Diagrama BPMN y diagrama de casos de uso</t>
  </si>
  <si>
    <t>1.2.5</t>
  </si>
  <si>
    <t>Fase 2</t>
  </si>
  <si>
    <t>1.2.6</t>
  </si>
  <si>
    <t>Fase 3</t>
  </si>
  <si>
    <t>Arquitectura del sistema</t>
  </si>
  <si>
    <t>Diagrama de arquitectura (monolito modular)</t>
  </si>
  <si>
    <t>Responsable(s) (R)</t>
  </si>
  <si>
    <t>1.3.1</t>
  </si>
  <si>
    <t>Inicio</t>
  </si>
  <si>
    <t>Fin</t>
  </si>
  <si>
    <t>Modelo de datos operacional y analítico</t>
  </si>
  <si>
    <t>Modelo ER y diccionario de datos</t>
  </si>
  <si>
    <t>1.3.2</t>
  </si>
  <si>
    <t>1.3.3</t>
  </si>
  <si>
    <t>1.3.4</t>
  </si>
  <si>
    <t>Diseño UI/UX y mockups</t>
  </si>
  <si>
    <t>Wireframes, mockups y mapa de navegación</t>
  </si>
  <si>
    <t>1.3.5</t>
  </si>
  <si>
    <t>1.4</t>
  </si>
  <si>
    <t>1.4.1</t>
  </si>
  <si>
    <t>Contratos de API</t>
  </si>
  <si>
    <t>Especificación OpenAPI de endpoints</t>
  </si>
  <si>
    <t>1.4.2</t>
  </si>
  <si>
    <t>1.4.3</t>
  </si>
  <si>
    <t>1.2.3, 1.2.4</t>
  </si>
  <si>
    <t>1.4.4</t>
  </si>
  <si>
    <t>Desarrollo de la aplicación web</t>
  </si>
  <si>
    <t>1.5</t>
  </si>
  <si>
    <t>Autenticación, usuarios y perfil lector</t>
  </si>
  <si>
    <t>1.5.1</t>
  </si>
  <si>
    <t>Registro, inicio de sesión y perfil lector básico funcional</t>
  </si>
  <si>
    <t>1.2.3, 1.2.5, 1.2.6</t>
  </si>
  <si>
    <t>Catálogo y búsqueda de libros</t>
  </si>
  <si>
    <t>Búsqueda por título o autor</t>
  </si>
  <si>
    <t>1.5.2</t>
  </si>
  <si>
    <t>1.5.3</t>
  </si>
  <si>
    <t>1.5.4</t>
  </si>
  <si>
    <t>1.6</t>
  </si>
  <si>
    <t>1.6.1</t>
  </si>
  <si>
    <t>Biblioteca personal y estados de lectura</t>
  </si>
  <si>
    <t>Biblioteca con estados de lectura</t>
  </si>
  <si>
    <t>Valoraciones, reseñas y emociones</t>
  </si>
  <si>
    <t>Registro de la experiencia de lectura</t>
  </si>
  <si>
    <t>1.6.2</t>
  </si>
  <si>
    <t>1.6.3</t>
  </si>
  <si>
    <t>Integración frontend-backend</t>
  </si>
  <si>
    <t>Aplicación funcionando completa sin IA</t>
  </si>
  <si>
    <t>1.6.4</t>
  </si>
  <si>
    <t>1.6.5</t>
  </si>
  <si>
    <t>1.3.1, 1.3.2, 1.3.3, 1.3.4</t>
  </si>
  <si>
    <t>Ingeniería de datos (ETL)</t>
  </si>
  <si>
    <t>1.6.6</t>
  </si>
  <si>
    <t>Extracción de datos operacionales</t>
  </si>
  <si>
    <t>Scripts de extracción desde PostgreSQL</t>
  </si>
  <si>
    <t>Limpieza y normalización</t>
  </si>
  <si>
    <t>Reglas de limpieza y log de descartes</t>
  </si>
  <si>
    <t>Transformación y carga en capa analítica</t>
  </si>
  <si>
    <t>Capa analítica separada y seudonimizada</t>
  </si>
  <si>
    <t>Generación de variables analíticas</t>
  </si>
  <si>
    <t>Variables de lectura, valoración y emoción</t>
  </si>
  <si>
    <t>Inteligencia artificial</t>
  </si>
  <si>
    <t>Diseño del prompt y restricciones éticas</t>
  </si>
  <si>
    <t>Prompt documentado, sin lenguaje de diagnóstico</t>
  </si>
  <si>
    <t>Servicio de integración con el modelo de lenguaje (Ollama)</t>
  </si>
  <si>
    <t>Servicio desacoplado con respuesta de respaldo</t>
  </si>
  <si>
    <t>1.5.1, 1.4.4</t>
  </si>
  <si>
    <t>Análisis de perfil lector y recepción de obra</t>
  </si>
  <si>
    <t>Interpretaciones generadas por la IA</t>
  </si>
  <si>
    <t>Visualización de resultados</t>
  </si>
  <si>
    <t>Vista de resultados en la interfaz</t>
  </si>
  <si>
    <t>Calidad y cierre</t>
  </si>
  <si>
    <t>Pruebas unitarias y de API</t>
  </si>
  <si>
    <t>Suite pytest y pruebas de endpoints</t>
  </si>
  <si>
    <t>Pruebas funcionales e integrales</t>
  </si>
  <si>
    <t>Casos de prueba de Jira (épica EP-17) ejecutados</t>
  </si>
  <si>
    <t>Seguridad y protección de datos</t>
  </si>
  <si>
    <t>Controles de seguridad definidos en el diseño (S2) y verificados antes del cierre (S12)</t>
  </si>
  <si>
    <t>Criterios de evaluación de riesgos</t>
  </si>
  <si>
    <t>Puntuación = Impacto × Probabilidad (escala 1–5 cada uno; máximo 25)</t>
  </si>
  <si>
    <t>Probabilidad</t>
  </si>
  <si>
    <t>Descripción</t>
  </si>
  <si>
    <t>Muy alta</t>
  </si>
  <si>
    <t>Más de 70%: casi seguro que ocurra durante el proyecto</t>
  </si>
  <si>
    <t>Alta</t>
  </si>
  <si>
    <t>50–70%: es más probable que ocurra que no</t>
  </si>
  <si>
    <t>Media</t>
  </si>
  <si>
    <t>30–50%: puede ocurrir en algún momento</t>
  </si>
  <si>
    <t>Baja</t>
  </si>
  <si>
    <t>10–30%: poco probable</t>
  </si>
  <si>
    <t>Muy baja</t>
  </si>
  <si>
    <t>Menos de 10%: ocurriría solo en casos excepcionales</t>
  </si>
  <si>
    <t>Impacto</t>
  </si>
  <si>
    <t>Efecto sobre el MVP</t>
  </si>
  <si>
    <t>Muy grave</t>
  </si>
  <si>
    <t>Impide la demostración del flujo completo o compromete datos personales</t>
  </si>
  <si>
    <t>Grave</t>
  </si>
  <si>
    <t>Atrasa una fase completa o deja fuera un componente del MVP (ETL, IA o app)</t>
  </si>
  <si>
    <t>Moderado</t>
  </si>
  <si>
    <t>Atrasa un módulo 1–2 semanas o baja la calidad de un entregable</t>
  </si>
  <si>
    <t>Menor</t>
  </si>
  <si>
    <t>Retrabajo de pocos días, absorbible dentro de la iteración</t>
  </si>
  <si>
    <t>Insignificante</t>
  </si>
  <si>
    <t>Efecto mínimo, sin cambios en plazo ni alcance</t>
  </si>
  <si>
    <t>Puntuación mínima</t>
  </si>
  <si>
    <t>Clasificación</t>
  </si>
  <si>
    <t>Respuesta esperada</t>
  </si>
  <si>
    <t>Documentación técnica</t>
  </si>
  <si>
    <t>README, guía Docker y documentación del ETL</t>
  </si>
  <si>
    <t>Extrema</t>
  </si>
  <si>
    <t>Respuesta inmediata; se revisa en cada reunión semanal</t>
  </si>
  <si>
    <t>Plan de respuesta activo y responsable asignado</t>
  </si>
  <si>
    <t>Se monitorea en cada cierre de fase</t>
  </si>
  <si>
    <t>Se acepta y se registra</t>
  </si>
  <si>
    <t>Estrategia</t>
  </si>
  <si>
    <t>Tipo</t>
  </si>
  <si>
    <t>Cuándo se usa</t>
  </si>
  <si>
    <t>Evitar</t>
  </si>
  <si>
    <t>Amenaza</t>
  </si>
  <si>
    <t>Se cambia el plan para eliminar la causa del riesgo</t>
  </si>
  <si>
    <t>Mitigar</t>
  </si>
  <si>
    <t>Se reduce la probabilidad o el impacto</t>
  </si>
  <si>
    <t>Transferir</t>
  </si>
  <si>
    <t>Se traslada el efecto a un tercero, por ejemplo un proveedor</t>
  </si>
  <si>
    <t>Ajustes críticos y consolidación de evidencias</t>
  </si>
  <si>
    <t>Aceptar</t>
  </si>
  <si>
    <t>Evidencias finales del MVP</t>
  </si>
  <si>
    <t>Se asume el riesgo y se prepara un plan de contingencia</t>
  </si>
  <si>
    <t>Ordenado por categoría RBS.</t>
  </si>
  <si>
    <t>ID</t>
  </si>
  <si>
    <t>Paquete EDT</t>
  </si>
  <si>
    <t>Riesgo (causa → efecto)</t>
  </si>
  <si>
    <t>Categoría</t>
  </si>
  <si>
    <t>Subcategoría</t>
  </si>
  <si>
    <t>Impacto (1–5)</t>
  </si>
  <si>
    <t>Probabilidad (1–5)</t>
  </si>
  <si>
    <t>Puntuación</t>
  </si>
  <si>
    <t>Acciones de respuesta</t>
  </si>
  <si>
    <t>Disparador</t>
  </si>
  <si>
    <t>Fase de ocurrencia</t>
  </si>
  <si>
    <t>Estado</t>
  </si>
  <si>
    <t>1.6.2, 1.6.3, 1.6.4</t>
  </si>
  <si>
    <t>Fecha objetivo de respuesta</t>
  </si>
  <si>
    <t>Informe y presentación final</t>
  </si>
  <si>
    <t>Informe final y demostración</t>
  </si>
  <si>
    <t>Última revisión</t>
  </si>
  <si>
    <t>R-01</t>
  </si>
  <si>
    <t>Requerimientos o historias de usuario ambiguos generan funcionalidades que no calzan con el flujo de la demostración final.</t>
  </si>
  <si>
    <t>Técnicos</t>
  </si>
  <si>
    <t>Requisitos</t>
  </si>
  <si>
    <t>M1: Redactar criterios de aceptación Dado/Cuando/Entonces por historia.
M2: Validar el backlog con el docente guía antes de S3.</t>
  </si>
  <si>
    <t>Historias sin criterios de aceptación o dudas recurrentes al desarrollar</t>
  </si>
  <si>
    <t>Abierto</t>
  </si>
  <si>
    <t>Mapa de calor de riesgos</t>
  </si>
  <si>
    <t>Cada celda lista los riesgos del registro con esa combinación de probabilidad e impacto.</t>
  </si>
  <si>
    <t>IMPACTO</t>
  </si>
  <si>
    <t>R-02</t>
  </si>
  <si>
    <t>1 Insignificante</t>
  </si>
  <si>
    <t>2 Menor</t>
  </si>
  <si>
    <t>3 Moderado</t>
  </si>
  <si>
    <t>4 Grave</t>
  </si>
  <si>
    <t>5 Muy grave</t>
  </si>
  <si>
    <t>PROBABILIDAD</t>
  </si>
  <si>
    <t>5 Muy alta</t>
  </si>
  <si>
    <t>Un modelo de datos que no separa bien la capa operacional de la analítica obliga a rehacer tablas y el ETL.</t>
  </si>
  <si>
    <t>Tecnología</t>
  </si>
  <si>
    <t>M1: Revisar el modelo ER en equipo antes de implementar.
M2: Definir desde S2 qué variables necesitará el ETL.</t>
  </si>
  <si>
    <t>Cambios de esquema después de S4</t>
  </si>
  <si>
    <t>R-03</t>
  </si>
  <si>
    <t>Errores de integración entre frontend, API y base de datos retrasan el flujo funcional completo.</t>
  </si>
  <si>
    <t>Interfaces</t>
  </si>
  <si>
    <t>M1: Contratos de API definidos en S2 y datos mock en el frontend.
M2: Integrar por módulo, no al final.</t>
  </si>
  <si>
    <t>Endpoints que no responden según el contrato</t>
  </si>
  <si>
    <t>R-04</t>
  </si>
  <si>
    <t>Registros nulos, duplicados o inconsistentes producen variables analíticas incorrectas.</t>
  </si>
  <si>
    <t>Calidad</t>
  </si>
  <si>
    <t>M1: Validaciones en la API al guardar datos.
M2: Reglas de limpieza documentadas y log de registros descartados.</t>
  </si>
  <si>
    <t>Diferencias entre el cálculo manual de control y el ETL (casos de prueba del ETL)</t>
  </si>
  <si>
    <t>R-05</t>
  </si>
  <si>
    <t>Estructura de desglose de riesgos (RBS)</t>
  </si>
  <si>
    <t>Categorías de riesgo del proyecto y riesgos identificados. Las subcategorías con 0 riesgos se mantienen deliberadamente para monitoreo futuro.</t>
  </si>
  <si>
    <t>La IA entrega interpretaciones que parecen diagnósticos psicológicos o afirma datos incorrectos.</t>
  </si>
  <si>
    <t>Fiabilidad</t>
  </si>
  <si>
    <t>Nivel 1 — Categoría</t>
  </si>
  <si>
    <t>Nivel 2 — Subcategoría</t>
  </si>
  <si>
    <t>Riesgos</t>
  </si>
  <si>
    <t>N.º de riesgos</t>
  </si>
  <si>
    <t>Puntuación máxima</t>
  </si>
  <si>
    <t>1.0 Técnicos</t>
  </si>
  <si>
    <t>R-01 Requerimientos ambiguos</t>
  </si>
  <si>
    <t>M1: Prompt con restricciones explícitas y ejemplos de respuesta.
M2: Aviso visible en la interfaz.
M3: Casos de prueba de la IA con revisión humana.</t>
  </si>
  <si>
    <t>Respuestas con términos clínicos o afirmaciones no sustentadas</t>
  </si>
  <si>
    <t>R-06</t>
  </si>
  <si>
    <t>R-02 Modelo de datos deficiente</t>
  </si>
  <si>
    <t>Variables analíticas poco significativas generan interpretaciones genéricas y de bajo valor para el usuario.</t>
  </si>
  <si>
    <t>Desempeño</t>
  </si>
  <si>
    <t>Complejidad</t>
  </si>
  <si>
    <t>—</t>
  </si>
  <si>
    <t>M1: Definir las variables con ejemplos de interpretación esperada.
M2: Probar con perfiles simulados contrastantes.</t>
  </si>
  <si>
    <t>Perfiles distintos reciben interpretaciones casi iguales</t>
  </si>
  <si>
    <t>R-07</t>
  </si>
  <si>
    <t>Conflictos en el repositorio o cambios sin revisión provocan pérdida de código o versiones rotas.</t>
  </si>
  <si>
    <t>R-03 Fallas de integración</t>
  </si>
  <si>
    <t>E1: Ramas por funcionalidad, pull requests obligatorios y rama principal protegida.</t>
  </si>
  <si>
    <t>Merge directo a la rama principal o build roto</t>
  </si>
  <si>
    <t>Todas</t>
  </si>
  <si>
    <t>R-06 Interpretaciones genéricas</t>
  </si>
  <si>
    <t>R-08</t>
  </si>
  <si>
    <t>Caídas, lentitud o falta de recursos del servicio de IA local (Ollama) detienen el análisis.</t>
  </si>
  <si>
    <t>Externos</t>
  </si>
  <si>
    <t>Proveedores</t>
  </si>
  <si>
    <t>R-05 IA con lenguaje de diagnóstico
R-07 Pérdida de código</t>
  </si>
  <si>
    <t>M1: Servicio desacoplado con respuesta de respaldo si la IA falla.
M2: Reintentos, control de concurrencia y tiempos de espera configurados.</t>
  </si>
  <si>
    <t>Errores o tiempos de espera del servicio de IA</t>
  </si>
  <si>
    <t>R-09</t>
  </si>
  <si>
    <t>R-04 Datos sucios en el ETL</t>
  </si>
  <si>
    <t>Límites o datos incompletos de la API externa de libros afectan la búsqueda del catálogo.</t>
  </si>
  <si>
    <t>2.0 Externos</t>
  </si>
  <si>
    <t>R-08 Disponibilidad del servicio de IA
R-09 Dependencia de la API de libros</t>
  </si>
  <si>
    <t>M1: Carga inicial de un set de libros en la base local.
M2: Caché de resultados consultados.</t>
  </si>
  <si>
    <t>Búsquedas sin resultados o errores de cuota</t>
  </si>
  <si>
    <t>Normativos y legales</t>
  </si>
  <si>
    <t>R-10 Filtración de datos personales</t>
  </si>
  <si>
    <t>R-10</t>
  </si>
  <si>
    <t>Una filtración de datos personales o emocionales incumple la Ley 19.628 / 21.719 y afecta la confianza.</t>
  </si>
  <si>
    <t>Usuarios</t>
  </si>
  <si>
    <t>R-11 Pocos datos reales</t>
  </si>
  <si>
    <t>3.0 Organizacionales</t>
  </si>
  <si>
    <t>Recursos</t>
  </si>
  <si>
    <t>R-12 Baja disponibilidad de un integrante
R-13 Curva de aprendizaje</t>
  </si>
  <si>
    <t>M1: Hash de contraseñas y credenciales en variables de entorno.
M2: Seudonimización en la capa analítica.
M3: Consentimiento explícito al registrarse.</t>
  </si>
  <si>
    <t>Credenciales en el repositorio o datos identificables en la capa analítica</t>
  </si>
  <si>
    <t>R-11</t>
  </si>
  <si>
    <t>El volumen de datos reales de usuarios no alcanza para que el ETL y la IA muestren patrones.</t>
  </si>
  <si>
    <t>Interdependencias</t>
  </si>
  <si>
    <t>A1: Se acepta el riesgo; plan de contingencia con datos simulados identificados con prefijo test_ y documentados.</t>
  </si>
  <si>
    <t>Menos de 30 experiencias de lectura registradas al inicio de S8</t>
  </si>
  <si>
    <t>Priorización</t>
  </si>
  <si>
    <t>R-12</t>
  </si>
  <si>
    <t>Carga académica o laboral de un integrante reduce su disponibilidad y atrasa sus paquetes de trabajo.</t>
  </si>
  <si>
    <t>Organizacionales</t>
  </si>
  <si>
    <t>4.0 Gestión de proyecto</t>
  </si>
  <si>
    <t>Estimación</t>
  </si>
  <si>
    <t>R-15 Cronograma comprimido</t>
  </si>
  <si>
    <t>M1: Revisión cruzada de pull requests para que dos personas conozcan cada módulo.
M2: Reasignación de tareas en la reunión semanal.</t>
  </si>
  <si>
    <t>Tareas sin avance durante una semana</t>
  </si>
  <si>
    <t>R-13</t>
  </si>
  <si>
    <t>La falta de experiencia con FastAPI, Docker, ETL o APIs de LLM retrasa el desarrollo.</t>
  </si>
  <si>
    <t>Planificación</t>
  </si>
  <si>
    <t>R-14 Crecimiento del alcance</t>
  </si>
  <si>
    <t>Control y seguimiento</t>
  </si>
  <si>
    <t>R-16 Seguimiento insuficiente</t>
  </si>
  <si>
    <t>M1: Pruebas de concepto cortas en S1–S2.
M2: Plantillas base del proyecto compartidas.</t>
  </si>
  <si>
    <t>Tareas técnicas que superan el doble de lo estimado</t>
  </si>
  <si>
    <t>R-14</t>
  </si>
  <si>
    <t>Comunicaciones</t>
  </si>
  <si>
    <t>Agregar funcionalidades fuera del MVP consume tiempo del flujo principal y pone en riesgo la demostración.</t>
  </si>
  <si>
    <t>Gestión de proyecto</t>
  </si>
  <si>
    <t>E1: Backlog cerrado; todo cambio se aprueba en equipo y se registra.
E2: Congelamiento de funcionalidades desde el Sprint 7 (S12), adelantado tras incorporar las funciones sociales (CC-01).</t>
  </si>
  <si>
    <t>Solicitudes de nuevas funcionalidades no incluidas en el backlog</t>
  </si>
  <si>
    <t>Total</t>
  </si>
  <si>
    <t>Materializado</t>
  </si>
  <si>
    <t>R-15</t>
  </si>
  <si>
    <t>El plan asigna una semana por módulo; cualquier atraso se acumula y comprime las pruebas y el cierre.</t>
  </si>
  <si>
    <t>M1: Priorizar solo endpoints del flujo principal.
M2: Semanas S13–S15 reservadas como holgura para ajustes. El frontend se replanificó a S11 (Sprint 6).</t>
  </si>
  <si>
    <t>Un módulo no terminado al cierre de su semana</t>
  </si>
  <si>
    <t>R-16</t>
  </si>
  <si>
    <t>Seguimiento o comunicación insuficientes impiden detectar atrasos a tiempo.</t>
  </si>
  <si>
    <t>M1: Reunión semanal de 30 minutos y tablero de sprints en Jira.
M2: Revisión del registro de riesgos al cierre de cada fase.</t>
  </si>
  <si>
    <t>Reunión semanal omitida o tablero desactualizado</t>
  </si>
  <si>
    <t>4 Alta</t>
  </si>
  <si>
    <t>3 Media</t>
  </si>
  <si>
    <t>2 Baja</t>
  </si>
  <si>
    <t>1 Muy baja</t>
  </si>
  <si>
    <t>Resumen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</si>
</sst>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\-mm\-yyyy"/>
    <numFmt numFmtId="166" formatCode="\S0"/>
  </numFmts>
  <fonts count="20">
    <font>
      <sz val="10.0"/>
      <color rgb="FF000000"/>
      <name val="Arial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12.0"/>
      <color rgb="FF1F3864"/>
      <name val="Arial"/>
    </font>
    <font>
      <sz val="10.0"/>
      <color rgb="FF0563C1"/>
      <name val="Arial"/>
    </font>
    <font>
      <sz val="10.0"/>
      <color rgb="FF0000FF"/>
      <name val="Arial"/>
    </font>
    <font/>
    <font>
      <sz val="11.0"/>
      <color theme="1"/>
      <name val="Arial"/>
    </font>
    <font>
      <b/>
      <sz val="10.0"/>
      <color rgb="FF0000FF"/>
      <name val="Arial"/>
    </font>
    <font>
      <b/>
      <sz val="9.0"/>
      <color rgb="FFFFFFFF"/>
      <name val="Arial"/>
    </font>
    <font>
      <b/>
      <sz val="10.0"/>
      <color theme="0"/>
      <name val="Arial"/>
    </font>
    <font>
      <b/>
      <sz val="11.0"/>
      <color theme="0"/>
      <name val="Arial"/>
    </font>
    <font>
      <sz val="10.0"/>
      <color rgb="FFA6A6A6"/>
      <name val="Arial"/>
    </font>
    <font>
      <b/>
      <sz val="10.0"/>
      <color rgb="FF000000"/>
      <name val="Arial"/>
    </font>
    <font>
      <sz val="10.0"/>
      <color rgb="FF008000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EF3FA"/>
        <bgColor rgb="FFEEF3FA"/>
      </patternFill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8FAADC"/>
        <bgColor rgb="FF8FAADC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17365D"/>
        <bgColor rgb="FF17365D"/>
      </patternFill>
    </fill>
  </fills>
  <borders count="21">
    <border/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/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wrapText="1"/>
    </xf>
    <xf borderId="2" fillId="3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readingOrder="0" shrinkToFit="0" vertical="top" wrapText="1"/>
    </xf>
    <xf borderId="0" fillId="0" fontId="7" numFmtId="0" xfId="0" applyFont="1"/>
    <xf borderId="3" fillId="0" fontId="5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4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3" fillId="0" fontId="5" numFmtId="164" xfId="0" applyAlignment="1" applyBorder="1" applyFont="1" applyNumberFormat="1">
      <alignment horizontal="left" shrinkToFit="0" vertical="top" wrapText="1"/>
    </xf>
    <xf borderId="0" fillId="0" fontId="5" numFmtId="0" xfId="0" applyAlignment="1" applyFont="1">
      <alignment horizontal="center" shrinkToFit="0" vertical="center" wrapText="1"/>
    </xf>
    <xf borderId="2" fillId="4" fontId="4" numFmtId="0" xfId="0" applyAlignment="1" applyBorder="1" applyFill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0" fillId="0" fontId="5" numFmtId="0" xfId="0" applyFont="1"/>
    <xf borderId="2" fillId="4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shrinkToFit="0" vertical="top" wrapText="1"/>
    </xf>
    <xf borderId="3" fillId="0" fontId="5" numFmtId="0" xfId="0" applyBorder="1" applyFont="1"/>
    <xf borderId="3" fillId="0" fontId="5" numFmtId="165" xfId="0" applyAlignment="1" applyBorder="1" applyFont="1" applyNumberFormat="1">
      <alignment horizontal="left"/>
    </xf>
    <xf borderId="6" fillId="0" fontId="5" numFmtId="0" xfId="0" applyAlignment="1" applyBorder="1" applyFont="1">
      <alignment horizontal="left"/>
    </xf>
    <xf borderId="7" fillId="0" fontId="10" numFmtId="0" xfId="0" applyBorder="1" applyFont="1"/>
    <xf borderId="8" fillId="0" fontId="10" numFmtId="0" xfId="0" applyBorder="1" applyFont="1"/>
    <xf borderId="3" fillId="0" fontId="11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left" readingOrder="0"/>
    </xf>
    <xf borderId="10" fillId="0" fontId="10" numFmtId="0" xfId="0" applyBorder="1" applyFont="1"/>
    <xf borderId="11" fillId="0" fontId="10" numFmtId="0" xfId="0" applyBorder="1" applyFont="1"/>
    <xf borderId="9" fillId="0" fontId="5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shrinkToFit="0" vertical="center" wrapText="1"/>
    </xf>
    <xf borderId="12" fillId="5" fontId="3" numFmtId="0" xfId="0" applyAlignment="1" applyBorder="1" applyFill="1" applyFont="1">
      <alignment horizontal="center" shrinkToFit="0" vertical="center" wrapText="1"/>
    </xf>
    <xf borderId="13" fillId="0" fontId="10" numFmtId="0" xfId="0" applyBorder="1" applyFont="1"/>
    <xf borderId="14" fillId="0" fontId="10" numFmtId="0" xfId="0" applyBorder="1" applyFont="1"/>
    <xf borderId="12" fillId="6" fontId="3" numFmtId="0" xfId="0" applyAlignment="1" applyBorder="1" applyFill="1" applyFont="1">
      <alignment horizontal="center" shrinkToFit="0" vertical="center" wrapText="1"/>
    </xf>
    <xf borderId="12" fillId="7" fontId="3" numFmtId="0" xfId="0" applyAlignment="1" applyBorder="1" applyFill="1" applyFont="1">
      <alignment horizontal="center" shrinkToFit="0" vertical="center" wrapText="1"/>
    </xf>
    <xf borderId="2" fillId="2" fontId="13" numFmtId="166" xfId="0" applyAlignment="1" applyBorder="1" applyFill="1" applyFont="1" applyNumberFormat="1">
      <alignment horizontal="center" shrinkToFit="0" vertical="center" wrapText="1"/>
    </xf>
    <xf borderId="2" fillId="0" fontId="6" numFmtId="0" xfId="0" applyBorder="1" applyFont="1"/>
    <xf borderId="2" fillId="0" fontId="9" numFmtId="0" xfId="0" applyAlignment="1" applyBorder="1" applyFont="1">
      <alignment horizontal="center" shrinkToFit="0" vertical="center" wrapText="1"/>
    </xf>
    <xf borderId="2" fillId="8" fontId="3" numFmtId="0" xfId="0" applyAlignment="1" applyBorder="1" applyFill="1" applyFont="1">
      <alignment horizontal="center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2" fillId="10" fontId="3" numFmtId="0" xfId="0" applyAlignment="1" applyBorder="1" applyFill="1" applyFont="1">
      <alignment horizontal="center" shrinkToFit="0" vertical="center" wrapText="1"/>
    </xf>
    <xf borderId="2" fillId="11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vertical="top" wrapText="1"/>
    </xf>
    <xf borderId="3" fillId="0" fontId="1" numFmtId="0" xfId="0" applyBorder="1" applyFont="1"/>
    <xf borderId="3" fillId="0" fontId="2" numFmtId="0" xfId="0" applyAlignment="1" applyBorder="1" applyFont="1">
      <alignment readingOrder="0"/>
    </xf>
    <xf borderId="3" fillId="2" fontId="3" numFmtId="0" xfId="0" applyAlignment="1" applyBorder="1" applyFill="1" applyFont="1">
      <alignment horizontal="center" shrinkToFit="0" vertical="center" wrapText="1"/>
    </xf>
    <xf borderId="3" fillId="12" fontId="14" numFmtId="0" xfId="0" applyAlignment="1" applyBorder="1" applyFill="1" applyFont="1">
      <alignment horizontal="center" shrinkToFit="0" wrapText="1"/>
    </xf>
    <xf borderId="3" fillId="12" fontId="15" numFmtId="0" xfId="0" applyAlignment="1" applyBorder="1" applyFill="1" applyFont="1">
      <alignment horizontal="center" shrinkToFit="0" wrapText="1"/>
    </xf>
    <xf borderId="3" fillId="0" fontId="4" numFmtId="0" xfId="0" applyAlignment="1" applyBorder="1" applyFont="1">
      <alignment horizontal="center" shrinkToFit="0" vertical="center" wrapText="1"/>
    </xf>
    <xf borderId="3" fillId="0" fontId="11" numFmtId="165" xfId="0" applyAlignment="1" applyBorder="1" applyFont="1" applyNumberFormat="1">
      <alignment shrinkToFit="0" wrapText="1"/>
    </xf>
    <xf borderId="12" fillId="2" fontId="3" numFmtId="0" xfId="0" applyAlignment="1" applyBorder="1" applyFill="1" applyFont="1">
      <alignment horizontal="center" shrinkToFit="0" vertical="center" wrapText="1"/>
    </xf>
    <xf borderId="15" fillId="2" fontId="3" numFmtId="0" xfId="0" applyAlignment="1" applyBorder="1" applyFill="1" applyFont="1">
      <alignment horizontal="center" vertical="center"/>
    </xf>
    <xf borderId="16" fillId="4" fontId="4" numFmtId="0" xfId="0" applyAlignment="1" applyBorder="1" applyFill="1" applyFont="1">
      <alignment shrinkToFit="0" vertical="center" wrapText="1"/>
    </xf>
    <xf borderId="17" fillId="0" fontId="10" numFmtId="0" xfId="0" applyBorder="1" applyFont="1"/>
    <xf borderId="2" fillId="0" fontId="16" numFmtId="0" xfId="0" applyAlignment="1" applyBorder="1" applyFont="1">
      <alignment shrinkToFit="0" vertical="top" wrapText="1"/>
    </xf>
    <xf borderId="2" fillId="10" fontId="17" numFmtId="0" xfId="0" applyAlignment="1" applyBorder="1" applyFill="1" applyFont="1">
      <alignment horizontal="center" shrinkToFit="0" vertical="center" wrapText="1"/>
    </xf>
    <xf borderId="18" fillId="0" fontId="10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0" fillId="0" fontId="9" numFmtId="0" xfId="0" applyFont="1"/>
    <xf borderId="0" fillId="0" fontId="18" numFmtId="0" xfId="0" applyFont="1"/>
    <xf borderId="0" fillId="0" fontId="4" numFmtId="0" xfId="0" applyFont="1"/>
    <xf borderId="0" fillId="0" fontId="19" numFmtId="0" xfId="0" applyFont="1"/>
    <xf borderId="19" fillId="0" fontId="10" numFmtId="0" xfId="0" applyBorder="1" applyFont="1"/>
    <xf borderId="20" fillId="0" fontId="10" numFmtId="0" xfId="0" applyBorder="1" applyFont="1"/>
  </cellXfs>
  <cellStyles count="1">
    <cellStyle xfId="0" name="Normal" builtinId="0"/>
  </cellStyles>
  <dxfs count="11">
    <dxf>
      <font>
        <b/>
        <color rgb="FFFFFFFF"/>
      </font>
      <fill>
        <patternFill patternType="solid">
          <fgColor rgb="FF1F3864"/>
          <bgColor rgb="FF1F3864"/>
        </patternFill>
      </fill>
      <border/>
    </dxf>
    <dxf>
      <font/>
      <fill>
        <patternFill patternType="solid">
          <fgColor rgb="FF8EA9DB"/>
          <bgColor rgb="FF8EA9DB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7E6E6"/>
          <bgColor rgb="FFE7E6E6"/>
        </patternFill>
      </fill>
      <border/>
    </dxf>
    <dxf>
      <font>
        <b/>
        <color rgb="FFC00000"/>
      </font>
      <fill>
        <patternFill patternType="none"/>
      </fill>
      <border/>
    </dxf>
    <dxf>
      <font/>
      <fill>
        <patternFill patternType="solid">
          <fgColor rgb="FF1F3864"/>
          <bgColor rgb="FF1F3864"/>
        </patternFill>
      </fill>
      <border/>
    </dxf>
    <dxf>
      <font/>
      <fill>
        <patternFill patternType="solid">
          <fgColor rgb="FF5B9BD5"/>
          <bgColor rgb="FF5B9BD5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ED7D31"/>
          <bgColor rgb="FFED7D31"/>
        </patternFill>
      </fill>
      <border/>
    </dxf>
    <dxf>
      <font>
        <b/>
        <color rgb="FF000000"/>
      </font>
      <fill>
        <patternFill patternType="solid">
          <fgColor rgb="FFFFC000"/>
          <bgColor rgb="FFFFC000"/>
        </patternFill>
      </fill>
      <border/>
    </dxf>
    <dxf>
      <font>
        <b/>
        <color rgb="FFFFFFFF"/>
      </font>
      <fill>
        <patternFill patternType="solid">
          <fgColor rgb="FF70AD47"/>
          <bgColor rgb="FF70AD4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15497175" cy="66008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9172575" cy="5838825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95.0"/>
    <col customWidth="1" min="3" max="3" width="18.0"/>
    <col customWidth="1" min="4" max="4" width="50.0"/>
    <col customWidth="1" min="5" max="26" width="8.75"/>
  </cols>
  <sheetData>
    <row r="1" ht="18.0" customHeight="1">
      <c r="A1" s="1" t="s">
        <v>2</v>
      </c>
    </row>
    <row r="2" ht="12.75" customHeight="1">
      <c r="A2" s="3" t="s">
        <v>5</v>
      </c>
    </row>
    <row r="3" ht="12.75" customHeight="1"/>
    <row r="4" ht="12.75" customHeight="1">
      <c r="A4" s="9" t="s">
        <v>15</v>
      </c>
      <c r="B4" s="10" t="s">
        <v>26</v>
      </c>
    </row>
    <row r="5" ht="12.75" customHeight="1">
      <c r="A5" s="9" t="s">
        <v>27</v>
      </c>
      <c r="B5" s="10" t="s">
        <v>28</v>
      </c>
    </row>
    <row r="6" ht="12.75" customHeight="1">
      <c r="A6" s="9" t="s">
        <v>31</v>
      </c>
      <c r="B6" s="10" t="s">
        <v>33</v>
      </c>
    </row>
    <row r="7" ht="25.5" customHeight="1">
      <c r="A7" s="9" t="s">
        <v>34</v>
      </c>
      <c r="B7" s="12" t="s">
        <v>35</v>
      </c>
    </row>
    <row r="8" ht="12.75" customHeight="1"/>
    <row r="9" ht="15.75" customHeight="1">
      <c r="A9" s="13" t="s">
        <v>36</v>
      </c>
    </row>
    <row r="10" ht="12.75" customHeight="1">
      <c r="A10" s="5" t="s">
        <v>37</v>
      </c>
      <c r="B10" s="5" t="s">
        <v>38</v>
      </c>
    </row>
    <row r="11" ht="25.5" customHeight="1">
      <c r="A11" s="15" t="s">
        <v>39</v>
      </c>
      <c r="B11" s="10" t="s">
        <v>40</v>
      </c>
    </row>
    <row r="12" ht="12.75" customHeight="1">
      <c r="A12" s="15" t="s">
        <v>4</v>
      </c>
      <c r="B12" s="10" t="s">
        <v>43</v>
      </c>
    </row>
    <row r="13" ht="12.75" customHeight="1">
      <c r="A13" s="15" t="s">
        <v>45</v>
      </c>
      <c r="B13" s="10" t="s">
        <v>46</v>
      </c>
    </row>
    <row r="14" ht="12.75" customHeight="1">
      <c r="A14" s="15" t="s">
        <v>47</v>
      </c>
      <c r="B14" s="10" t="s">
        <v>48</v>
      </c>
    </row>
    <row r="15" ht="12.75" customHeight="1">
      <c r="A15" s="15" t="s">
        <v>49</v>
      </c>
      <c r="B15" s="10" t="s">
        <v>50</v>
      </c>
    </row>
    <row r="16" ht="12.75" customHeight="1">
      <c r="A16" s="15" t="s">
        <v>51</v>
      </c>
      <c r="B16" s="10" t="s">
        <v>52</v>
      </c>
    </row>
    <row r="17" ht="12.75" customHeight="1">
      <c r="A17" s="15" t="s">
        <v>53</v>
      </c>
      <c r="B17" s="10" t="s">
        <v>54</v>
      </c>
    </row>
    <row r="18" ht="12.75" customHeight="1">
      <c r="A18" s="15" t="s">
        <v>56</v>
      </c>
      <c r="B18" s="10" t="s">
        <v>57</v>
      </c>
    </row>
    <row r="19" ht="12.75" customHeight="1">
      <c r="A19" s="15" t="s">
        <v>58</v>
      </c>
      <c r="B19" s="10" t="s">
        <v>60</v>
      </c>
    </row>
    <row r="20" ht="12.75" customHeight="1"/>
    <row r="21" ht="15.75" customHeight="1">
      <c r="A21" s="13" t="s">
        <v>62</v>
      </c>
    </row>
    <row r="22" ht="12.75" customHeight="1">
      <c r="A22" s="4" t="s">
        <v>63</v>
      </c>
      <c r="B22" s="4" t="s">
        <v>64</v>
      </c>
      <c r="C22" s="4" t="s">
        <v>65</v>
      </c>
      <c r="D22" s="17" t="s">
        <v>66</v>
      </c>
    </row>
    <row r="23" ht="12.75" customHeight="1">
      <c r="A23" s="7" t="s">
        <v>25</v>
      </c>
      <c r="B23" s="21">
        <v>46290.0</v>
      </c>
      <c r="C23" s="7" t="s">
        <v>59</v>
      </c>
      <c r="D23" s="24" t="s">
        <v>68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ht="12.75" customHeight="1">
      <c r="A24" s="28" t="s">
        <v>67</v>
      </c>
      <c r="B24" s="29">
        <v>46292.0</v>
      </c>
      <c r="C24" s="28" t="s">
        <v>59</v>
      </c>
      <c r="D24" s="30" t="s">
        <v>70</v>
      </c>
      <c r="E24" s="31"/>
      <c r="F24" s="31"/>
      <c r="G24" s="31"/>
      <c r="H24" s="31"/>
      <c r="I24" s="31"/>
      <c r="J24" s="31"/>
      <c r="K24" s="32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ht="12.75" customHeight="1">
      <c r="A25" s="33" t="s">
        <v>72</v>
      </c>
      <c r="B25" s="29">
        <v>46293.0</v>
      </c>
      <c r="C25" s="28" t="s">
        <v>59</v>
      </c>
      <c r="D25" s="35" t="s">
        <v>75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7"/>
      <c r="W25" s="25"/>
    </row>
    <row r="26" ht="12.75" customHeight="1">
      <c r="A26" s="33" t="s">
        <v>76</v>
      </c>
      <c r="B26" s="29">
        <v>46313.0</v>
      </c>
      <c r="C26" s="28" t="s">
        <v>59</v>
      </c>
      <c r="D26" s="38" t="s">
        <v>77</v>
      </c>
    </row>
    <row r="27" ht="12.75" customHeight="1">
      <c r="A27" s="13"/>
    </row>
    <row r="28" ht="12.75" customHeight="1">
      <c r="A28" s="25"/>
      <c r="B28" s="20"/>
    </row>
    <row r="29" ht="12.75" customHeight="1">
      <c r="A29" s="25"/>
      <c r="B29" s="20"/>
    </row>
    <row r="30" ht="12.75" customHeight="1">
      <c r="A30" s="25"/>
      <c r="B30" s="20"/>
    </row>
    <row r="31" ht="12.75" customHeight="1">
      <c r="A31" s="25"/>
      <c r="B31" s="20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D24:K24"/>
    <mergeCell ref="D25:V2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7.0"/>
    <col customWidth="1" min="3" max="3" width="44.0"/>
    <col customWidth="1" min="4" max="4" width="48.0"/>
    <col customWidth="1" min="5" max="5" width="30.0"/>
    <col customWidth="1" min="6" max="8" width="11.0"/>
    <col customWidth="1" min="9" max="9" width="12.0"/>
    <col customWidth="1" min="10" max="10" width="22.0"/>
    <col customWidth="1" min="11" max="26" width="8.75"/>
  </cols>
  <sheetData>
    <row r="1" ht="18.0" customHeight="1">
      <c r="A1" s="1" t="s">
        <v>1</v>
      </c>
    </row>
    <row r="2" ht="12.75" customHeight="1">
      <c r="A2" s="2"/>
    </row>
    <row r="3" ht="12.75" customHeight="1"/>
    <row r="4" ht="25.5" customHeight="1">
      <c r="A4" s="5" t="s">
        <v>7</v>
      </c>
      <c r="B4" s="5" t="s">
        <v>12</v>
      </c>
      <c r="C4" s="5" t="s">
        <v>13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21</v>
      </c>
      <c r="I4" s="5" t="s">
        <v>22</v>
      </c>
      <c r="J4" s="8" t="s">
        <v>23</v>
      </c>
    </row>
    <row r="5" ht="25.5" customHeight="1">
      <c r="A5" s="9" t="s">
        <v>25</v>
      </c>
      <c r="B5" s="11">
        <v>1.0</v>
      </c>
      <c r="C5" s="9" t="s">
        <v>29</v>
      </c>
      <c r="D5" s="9" t="s">
        <v>30</v>
      </c>
      <c r="E5" s="9" t="s">
        <v>32</v>
      </c>
      <c r="F5" s="11">
        <f>MIN(F6:F41)</f>
        <v>1</v>
      </c>
      <c r="G5" s="11">
        <f>MAX(G6:G41)</f>
        <v>18</v>
      </c>
      <c r="H5" s="11">
        <f t="shared" ref="H5:H41" si="1">G5-F5+1</f>
        <v>18</v>
      </c>
      <c r="I5" s="11" t="str">
        <f t="shared" ref="I5:I41" si="2">IF(F5&gt;=13,"Fase 3",IF(G5&lt;=6,"Fase 1",IF(AND(F5&gt;=7,G5&lt;=12),"Fase 2","Transversal")))</f>
        <v>Transversal</v>
      </c>
      <c r="J5" s="8"/>
    </row>
    <row r="6" ht="12.75" customHeight="1">
      <c r="A6" s="23" t="s">
        <v>67</v>
      </c>
      <c r="B6" s="26">
        <v>2.0</v>
      </c>
      <c r="C6" s="23" t="s">
        <v>69</v>
      </c>
      <c r="D6" s="27"/>
      <c r="E6" s="27"/>
      <c r="F6" s="26">
        <f>MIN(F7:F11)</f>
        <v>1</v>
      </c>
      <c r="G6" s="26">
        <f>MAX(G7:G11)</f>
        <v>18</v>
      </c>
      <c r="H6" s="26">
        <f t="shared" si="1"/>
        <v>18</v>
      </c>
      <c r="I6" s="26" t="str">
        <f t="shared" si="2"/>
        <v>Transversal</v>
      </c>
      <c r="J6" s="8"/>
    </row>
    <row r="7" ht="12.75" customHeight="1">
      <c r="A7" s="10" t="s">
        <v>71</v>
      </c>
      <c r="B7" s="34">
        <v>3.0</v>
      </c>
      <c r="C7" s="10" t="s">
        <v>73</v>
      </c>
      <c r="D7" s="10" t="s">
        <v>74</v>
      </c>
      <c r="E7" s="10" t="str">
        <f>MID(IF(RIGHT(RACI!C6,1)="R",", Josyan Bonnemaison","")&amp;IF(RIGHT(RACI!D6,1)="R",", Nicole Marchant","")&amp;IF(RIGHT(RACI!E6,1)="R",", Katherine Rubilar",""),3,200)</f>
        <v>Katherine Rubilar</v>
      </c>
      <c r="F7" s="34">
        <v>1.0</v>
      </c>
      <c r="G7" s="34">
        <v>1.0</v>
      </c>
      <c r="H7" s="34">
        <f t="shared" si="1"/>
        <v>1</v>
      </c>
      <c r="I7" s="34" t="str">
        <f t="shared" si="2"/>
        <v>Fase 1</v>
      </c>
      <c r="J7" s="8"/>
    </row>
    <row r="8" ht="12.75" customHeight="1">
      <c r="A8" s="10" t="s">
        <v>86</v>
      </c>
      <c r="B8" s="34">
        <v>3.0</v>
      </c>
      <c r="C8" s="10" t="s">
        <v>87</v>
      </c>
      <c r="D8" s="10" t="s">
        <v>88</v>
      </c>
      <c r="E8" s="10" t="str">
        <f>MID(IF(RIGHT(RACI!C7,1)="R",", Josyan Bonnemaison","")&amp;IF(RIGHT(RACI!D7,1)="R",", Nicole Marchant","")&amp;IF(RIGHT(RACI!E7,1)="R",", Katherine Rubilar",""),3,200)</f>
        <v>Katherine Rubilar</v>
      </c>
      <c r="F8" s="34">
        <v>1.0</v>
      </c>
      <c r="G8" s="34">
        <v>1.0</v>
      </c>
      <c r="H8" s="34">
        <f t="shared" si="1"/>
        <v>1</v>
      </c>
      <c r="I8" s="34" t="str">
        <f t="shared" si="2"/>
        <v>Fase 1</v>
      </c>
      <c r="J8" s="8" t="s">
        <v>71</v>
      </c>
    </row>
    <row r="9" ht="12.75" customHeight="1">
      <c r="A9" s="10" t="s">
        <v>90</v>
      </c>
      <c r="B9" s="34">
        <v>3.0</v>
      </c>
      <c r="C9" s="10" t="s">
        <v>91</v>
      </c>
      <c r="D9" s="10" t="s">
        <v>92</v>
      </c>
      <c r="E9" s="10" t="str">
        <f>MID(IF(RIGHT(RACI!C8,1)="R",", Josyan Bonnemaison","")&amp;IF(RIGHT(RACI!D8,1)="R",", Nicole Marchant","")&amp;IF(RIGHT(RACI!E8,1)="R",", Katherine Rubilar",""),3,200)</f>
        <v>Katherine Rubilar</v>
      </c>
      <c r="F9" s="34">
        <v>1.0</v>
      </c>
      <c r="G9" s="34">
        <v>1.0</v>
      </c>
      <c r="H9" s="34">
        <f t="shared" si="1"/>
        <v>1</v>
      </c>
      <c r="I9" s="34" t="str">
        <f t="shared" si="2"/>
        <v>Fase 1</v>
      </c>
      <c r="J9" s="8" t="s">
        <v>71</v>
      </c>
    </row>
    <row r="10" ht="12.75" customHeight="1">
      <c r="A10" s="10" t="s">
        <v>95</v>
      </c>
      <c r="B10" s="34">
        <v>3.0</v>
      </c>
      <c r="C10" s="10" t="s">
        <v>96</v>
      </c>
      <c r="D10" s="10" t="s">
        <v>97</v>
      </c>
      <c r="E10" s="10" t="str">
        <f>MID(IF(RIGHT(RACI!C9,1)="R",", Josyan Bonnemaison","")&amp;IF(RIGHT(RACI!D9,1)="R",", Nicole Marchant","")&amp;IF(RIGHT(RACI!E9,1)="R",", Katherine Rubilar",""),3,200)</f>
        <v>Katherine Rubilar</v>
      </c>
      <c r="F10" s="34">
        <v>1.0</v>
      </c>
      <c r="G10" s="34">
        <v>18.0</v>
      </c>
      <c r="H10" s="34">
        <f t="shared" si="1"/>
        <v>18</v>
      </c>
      <c r="I10" s="34" t="str">
        <f t="shared" si="2"/>
        <v>Transversal</v>
      </c>
      <c r="J10" s="8" t="s">
        <v>71</v>
      </c>
    </row>
    <row r="11" ht="12.75" customHeight="1">
      <c r="A11" s="10" t="s">
        <v>99</v>
      </c>
      <c r="B11" s="34">
        <v>3.0</v>
      </c>
      <c r="C11" s="10" t="s">
        <v>100</v>
      </c>
      <c r="D11" s="10" t="s">
        <v>101</v>
      </c>
      <c r="E11" s="10" t="str">
        <f>MID(IF(RIGHT(RACI!C10,1)="R",", Josyan Bonnemaison","")&amp;IF(RIGHT(RACI!D10,1)="R",", Nicole Marchant","")&amp;IF(RIGHT(RACI!E10,1)="R",", Katherine Rubilar",""),3,200)</f>
        <v>Katherine Rubilar</v>
      </c>
      <c r="F11" s="34">
        <v>2.0</v>
      </c>
      <c r="G11" s="34">
        <v>18.0</v>
      </c>
      <c r="H11" s="34">
        <f t="shared" si="1"/>
        <v>17</v>
      </c>
      <c r="I11" s="34" t="str">
        <f t="shared" si="2"/>
        <v>Transversal</v>
      </c>
      <c r="J11" s="8" t="s">
        <v>86</v>
      </c>
    </row>
    <row r="12" ht="12.75" customHeight="1">
      <c r="A12" s="23" t="s">
        <v>72</v>
      </c>
      <c r="B12" s="26">
        <v>2.0</v>
      </c>
      <c r="C12" s="23" t="s">
        <v>103</v>
      </c>
      <c r="D12" s="27"/>
      <c r="E12" s="27"/>
      <c r="F12" s="26">
        <f>MIN(F13:F18)</f>
        <v>1</v>
      </c>
      <c r="G12" s="26">
        <f>MAX(G13:G18)</f>
        <v>2</v>
      </c>
      <c r="H12" s="26">
        <f t="shared" si="1"/>
        <v>2</v>
      </c>
      <c r="I12" s="26" t="str">
        <f t="shared" si="2"/>
        <v>Fase 1</v>
      </c>
      <c r="J12" s="8"/>
    </row>
    <row r="13" ht="12.75" customHeight="1">
      <c r="A13" s="10" t="s">
        <v>102</v>
      </c>
      <c r="B13" s="34">
        <v>3.0</v>
      </c>
      <c r="C13" s="10" t="s">
        <v>105</v>
      </c>
      <c r="D13" s="10" t="s">
        <v>106</v>
      </c>
      <c r="E13" s="10" t="str">
        <f>MID(IF(RIGHT(RACI!C12,1)="R",", Josyan Bonnemaison","")&amp;IF(RIGHT(RACI!D12,1)="R",", Nicole Marchant","")&amp;IF(RIGHT(RACI!E12,1)="R",", Katherine Rubilar",""),3,200)</f>
        <v>Nicole Marchant, Katherine Rubilar</v>
      </c>
      <c r="F13" s="34">
        <v>1.0</v>
      </c>
      <c r="G13" s="34">
        <v>1.0</v>
      </c>
      <c r="H13" s="34">
        <f t="shared" si="1"/>
        <v>1</v>
      </c>
      <c r="I13" s="34" t="str">
        <f t="shared" si="2"/>
        <v>Fase 1</v>
      </c>
      <c r="J13" s="8" t="s">
        <v>71</v>
      </c>
    </row>
    <row r="14" ht="12.75" customHeight="1">
      <c r="A14" s="10" t="s">
        <v>107</v>
      </c>
      <c r="B14" s="34">
        <v>3.0</v>
      </c>
      <c r="C14" s="10" t="s">
        <v>112</v>
      </c>
      <c r="D14" s="10" t="s">
        <v>113</v>
      </c>
      <c r="E14" s="10" t="str">
        <f>MID(IF(RIGHT(RACI!C13,1)="R",", Josyan Bonnemaison","")&amp;IF(RIGHT(RACI!D13,1)="R",", Nicole Marchant","")&amp;IF(RIGHT(RACI!E13,1)="R",", Katherine Rubilar",""),3,200)</f>
        <v>Josyan Bonnemaison</v>
      </c>
      <c r="F14" s="34">
        <v>1.0</v>
      </c>
      <c r="G14" s="34">
        <v>1.0</v>
      </c>
      <c r="H14" s="34">
        <f t="shared" si="1"/>
        <v>1</v>
      </c>
      <c r="I14" s="34" t="str">
        <f t="shared" si="2"/>
        <v>Fase 1</v>
      </c>
      <c r="J14" s="8" t="s">
        <v>102</v>
      </c>
    </row>
    <row r="15" ht="12.75" customHeight="1">
      <c r="A15" s="10" t="s">
        <v>109</v>
      </c>
      <c r="B15" s="34">
        <v>3.0</v>
      </c>
      <c r="C15" s="10" t="s">
        <v>118</v>
      </c>
      <c r="D15" s="10" t="s">
        <v>119</v>
      </c>
      <c r="E15" s="10" t="str">
        <f>MID(IF(RIGHT(RACI!C14,1)="R",", Josyan Bonnemaison","")&amp;IF(RIGHT(RACI!D14,1)="R",", Nicole Marchant","")&amp;IF(RIGHT(RACI!E14,1)="R",", Katherine Rubilar",""),3,200)</f>
        <v>Nicole Marchant</v>
      </c>
      <c r="F15" s="34">
        <v>1.0</v>
      </c>
      <c r="G15" s="34">
        <v>1.0</v>
      </c>
      <c r="H15" s="34">
        <f t="shared" si="1"/>
        <v>1</v>
      </c>
      <c r="I15" s="34" t="str">
        <f t="shared" si="2"/>
        <v>Fase 1</v>
      </c>
      <c r="J15" s="8" t="s">
        <v>102</v>
      </c>
    </row>
    <row r="16" ht="12.75" customHeight="1">
      <c r="A16" s="10" t="s">
        <v>111</v>
      </c>
      <c r="B16" s="34">
        <v>3.0</v>
      </c>
      <c r="C16" s="10" t="s">
        <v>124</v>
      </c>
      <c r="D16" s="10" t="s">
        <v>125</v>
      </c>
      <c r="E16" s="10" t="str">
        <f>MID(IF(RIGHT(RACI!C15,1)="R",", Josyan Bonnemaison","")&amp;IF(RIGHT(RACI!D15,1)="R",", Nicole Marchant","")&amp;IF(RIGHT(RACI!E15,1)="R",", Katherine Rubilar",""),3,200)</f>
        <v>Nicole Marchant</v>
      </c>
      <c r="F16" s="34">
        <v>2.0</v>
      </c>
      <c r="G16" s="34">
        <v>2.0</v>
      </c>
      <c r="H16" s="34">
        <f t="shared" si="1"/>
        <v>1</v>
      </c>
      <c r="I16" s="34" t="str">
        <f t="shared" si="2"/>
        <v>Fase 1</v>
      </c>
      <c r="J16" s="8" t="s">
        <v>109</v>
      </c>
    </row>
    <row r="17" ht="12.75" customHeight="1">
      <c r="A17" s="10" t="s">
        <v>114</v>
      </c>
      <c r="B17" s="34">
        <v>3.0</v>
      </c>
      <c r="C17" s="10" t="s">
        <v>129</v>
      </c>
      <c r="D17" s="10" t="s">
        <v>130</v>
      </c>
      <c r="E17" s="10" t="str">
        <f>MID(IF(RIGHT(RACI!C16,1)="R",", Josyan Bonnemaison","")&amp;IF(RIGHT(RACI!D16,1)="R",", Nicole Marchant","")&amp;IF(RIGHT(RACI!E16,1)="R",", Katherine Rubilar",""),3,200)</f>
        <v>Josyan Bonnemaison</v>
      </c>
      <c r="F17" s="34">
        <v>2.0</v>
      </c>
      <c r="G17" s="34">
        <v>2.0</v>
      </c>
      <c r="H17" s="34">
        <f t="shared" si="1"/>
        <v>1</v>
      </c>
      <c r="I17" s="34" t="str">
        <f t="shared" si="2"/>
        <v>Fase 1</v>
      </c>
      <c r="J17" s="8" t="s">
        <v>102</v>
      </c>
    </row>
    <row r="18" ht="12.75" customHeight="1">
      <c r="A18" s="10" t="s">
        <v>116</v>
      </c>
      <c r="B18" s="34">
        <v>3.0</v>
      </c>
      <c r="C18" s="10" t="s">
        <v>134</v>
      </c>
      <c r="D18" s="10" t="s">
        <v>135</v>
      </c>
      <c r="E18" s="10" t="str">
        <f>MID(IF(RIGHT(RACI!C17,1)="R",", Josyan Bonnemaison","")&amp;IF(RIGHT(RACI!D17,1)="R",", Nicole Marchant","")&amp;IF(RIGHT(RACI!E17,1)="R",", Katherine Rubilar",""),3,200)</f>
        <v>Nicole Marchant</v>
      </c>
      <c r="F18" s="34">
        <v>2.0</v>
      </c>
      <c r="G18" s="34">
        <v>2.0</v>
      </c>
      <c r="H18" s="34">
        <f t="shared" si="1"/>
        <v>1</v>
      </c>
      <c r="I18" s="34" t="str">
        <f t="shared" si="2"/>
        <v>Fase 1</v>
      </c>
      <c r="J18" s="8" t="s">
        <v>138</v>
      </c>
    </row>
    <row r="19" ht="12.75" customHeight="1">
      <c r="A19" s="23" t="s">
        <v>76</v>
      </c>
      <c r="B19" s="26">
        <v>2.0</v>
      </c>
      <c r="C19" s="23" t="s">
        <v>140</v>
      </c>
      <c r="D19" s="27"/>
      <c r="E19" s="27"/>
      <c r="F19" s="26">
        <f>MIN(F20:F24)</f>
        <v>3</v>
      </c>
      <c r="G19" s="26">
        <f>MAX(G20:G24)</f>
        <v>7</v>
      </c>
      <c r="H19" s="26">
        <f t="shared" si="1"/>
        <v>5</v>
      </c>
      <c r="I19" s="26" t="str">
        <f t="shared" si="2"/>
        <v>Transversal</v>
      </c>
      <c r="J19" s="8"/>
    </row>
    <row r="20" ht="12.75" customHeight="1">
      <c r="A20" s="10" t="s">
        <v>121</v>
      </c>
      <c r="B20" s="34">
        <v>3.0</v>
      </c>
      <c r="C20" s="10" t="s">
        <v>142</v>
      </c>
      <c r="D20" s="10" t="s">
        <v>144</v>
      </c>
      <c r="E20" s="10" t="str">
        <f>MID(IF(RIGHT(RACI!C19,1)="R",", Josyan Bonnemaison","")&amp;IF(RIGHT(RACI!D19,1)="R",", Nicole Marchant","")&amp;IF(RIGHT(RACI!E19,1)="R",", Katherine Rubilar",""),3,200)</f>
        <v>Josyan Bonnemaison, Nicole Marchant</v>
      </c>
      <c r="F20" s="34">
        <v>3.0</v>
      </c>
      <c r="G20" s="34">
        <v>3.0</v>
      </c>
      <c r="H20" s="34">
        <f t="shared" si="1"/>
        <v>1</v>
      </c>
      <c r="I20" s="34" t="str">
        <f t="shared" si="2"/>
        <v>Fase 1</v>
      </c>
      <c r="J20" s="8" t="s">
        <v>145</v>
      </c>
    </row>
    <row r="21" ht="12.75" customHeight="1">
      <c r="A21" s="10" t="s">
        <v>126</v>
      </c>
      <c r="B21" s="34">
        <v>3.0</v>
      </c>
      <c r="C21" s="10" t="s">
        <v>146</v>
      </c>
      <c r="D21" s="10" t="s">
        <v>147</v>
      </c>
      <c r="E21" s="10" t="str">
        <f>MID(IF(RIGHT(RACI!C20,1)="R",", Josyan Bonnemaison","")&amp;IF(RIGHT(RACI!D20,1)="R",", Nicole Marchant","")&amp;IF(RIGHT(RACI!E20,1)="R",", Katherine Rubilar",""),3,200)</f>
        <v>Josyan Bonnemaison, Nicole Marchant</v>
      </c>
      <c r="F21" s="34">
        <v>4.0</v>
      </c>
      <c r="G21" s="34">
        <v>4.0</v>
      </c>
      <c r="H21" s="34">
        <f t="shared" si="1"/>
        <v>1</v>
      </c>
      <c r="I21" s="34" t="str">
        <f t="shared" si="2"/>
        <v>Fase 1</v>
      </c>
      <c r="J21" s="8" t="s">
        <v>121</v>
      </c>
    </row>
    <row r="22" ht="12.75" customHeight="1">
      <c r="A22" s="10" t="s">
        <v>127</v>
      </c>
      <c r="B22" s="34">
        <v>3.0</v>
      </c>
      <c r="C22" s="10" t="s">
        <v>153</v>
      </c>
      <c r="D22" s="10" t="s">
        <v>154</v>
      </c>
      <c r="E22" s="10" t="str">
        <f>MID(IF(RIGHT(RACI!C21,1)="R",", Josyan Bonnemaison","")&amp;IF(RIGHT(RACI!D21,1)="R",", Nicole Marchant","")&amp;IF(RIGHT(RACI!E21,1)="R",", Katherine Rubilar",""),3,200)</f>
        <v>Josyan Bonnemaison, Nicole Marchant</v>
      </c>
      <c r="F22" s="34">
        <v>5.0</v>
      </c>
      <c r="G22" s="34">
        <v>5.0</v>
      </c>
      <c r="H22" s="34">
        <f t="shared" si="1"/>
        <v>1</v>
      </c>
      <c r="I22" s="34" t="str">
        <f t="shared" si="2"/>
        <v>Fase 1</v>
      </c>
      <c r="J22" s="8" t="s">
        <v>126</v>
      </c>
    </row>
    <row r="23" ht="12.75" customHeight="1">
      <c r="A23" s="10" t="s">
        <v>128</v>
      </c>
      <c r="B23" s="34">
        <v>3.0</v>
      </c>
      <c r="C23" s="10" t="s">
        <v>155</v>
      </c>
      <c r="D23" s="10" t="s">
        <v>156</v>
      </c>
      <c r="E23" s="10" t="str">
        <f>MID(IF(RIGHT(RACI!C22,1)="R",", Josyan Bonnemaison","")&amp;IF(RIGHT(RACI!D22,1)="R",", Nicole Marchant","")&amp;IF(RIGHT(RACI!E22,1)="R",", Katherine Rubilar",""),3,200)</f>
        <v>Josyan Bonnemaison, Nicole Marchant</v>
      </c>
      <c r="F23" s="34">
        <v>6.0</v>
      </c>
      <c r="G23" s="34">
        <v>6.0</v>
      </c>
      <c r="H23" s="34">
        <f t="shared" si="1"/>
        <v>1</v>
      </c>
      <c r="I23" s="34" t="str">
        <f t="shared" si="2"/>
        <v>Fase 1</v>
      </c>
      <c r="J23" s="8" t="s">
        <v>127</v>
      </c>
    </row>
    <row r="24" ht="12.75" customHeight="1">
      <c r="A24" s="10" t="s">
        <v>131</v>
      </c>
      <c r="B24" s="34">
        <v>3.0</v>
      </c>
      <c r="C24" s="10" t="s">
        <v>159</v>
      </c>
      <c r="D24" s="10" t="s">
        <v>160</v>
      </c>
      <c r="E24" s="10" t="str">
        <f>MID(IF(RIGHT(RACI!C23,1)="R",", Josyan Bonnemaison","")&amp;IF(RIGHT(RACI!D23,1)="R",", Nicole Marchant","")&amp;IF(RIGHT(RACI!E23,1)="R",", Katherine Rubilar",""),3,200)</f>
        <v>Josyan Bonnemaison, Nicole Marchant, Katherine Rubilar</v>
      </c>
      <c r="F24" s="34">
        <v>7.0</v>
      </c>
      <c r="G24" s="34">
        <v>7.0</v>
      </c>
      <c r="H24" s="34">
        <f t="shared" si="1"/>
        <v>1</v>
      </c>
      <c r="I24" s="34" t="str">
        <f t="shared" si="2"/>
        <v>Fase 2</v>
      </c>
      <c r="J24" s="8" t="s">
        <v>163</v>
      </c>
    </row>
    <row r="25" ht="12.75" customHeight="1">
      <c r="A25" s="23" t="s">
        <v>132</v>
      </c>
      <c r="B25" s="26">
        <v>2.0</v>
      </c>
      <c r="C25" s="23" t="s">
        <v>164</v>
      </c>
      <c r="D25" s="27"/>
      <c r="E25" s="27"/>
      <c r="F25" s="26">
        <f>MIN(F26:F29)</f>
        <v>8</v>
      </c>
      <c r="G25" s="26">
        <f>MAX(G26:G29)</f>
        <v>9</v>
      </c>
      <c r="H25" s="26">
        <f t="shared" si="1"/>
        <v>2</v>
      </c>
      <c r="I25" s="26" t="str">
        <f t="shared" si="2"/>
        <v>Fase 2</v>
      </c>
      <c r="J25" s="8"/>
    </row>
    <row r="26" ht="12.75" customHeight="1">
      <c r="A26" s="10" t="s">
        <v>133</v>
      </c>
      <c r="B26" s="34">
        <v>3.0</v>
      </c>
      <c r="C26" s="10" t="s">
        <v>166</v>
      </c>
      <c r="D26" s="10" t="s">
        <v>167</v>
      </c>
      <c r="E26" s="10" t="str">
        <f>MID(IF(RIGHT(RACI!C25,1)="R",", Josyan Bonnemaison","")&amp;IF(RIGHT(RACI!D25,1)="R",", Nicole Marchant","")&amp;IF(RIGHT(RACI!E25,1)="R",", Katherine Rubilar",""),3,200)</f>
        <v>Nicole Marchant</v>
      </c>
      <c r="F26" s="34">
        <v>8.0</v>
      </c>
      <c r="G26" s="34">
        <v>8.0</v>
      </c>
      <c r="H26" s="34">
        <f t="shared" si="1"/>
        <v>1</v>
      </c>
      <c r="I26" s="34" t="str">
        <f t="shared" si="2"/>
        <v>Fase 2</v>
      </c>
      <c r="J26" s="8" t="s">
        <v>131</v>
      </c>
    </row>
    <row r="27" ht="12.75" customHeight="1">
      <c r="A27" s="10" t="s">
        <v>136</v>
      </c>
      <c r="B27" s="34">
        <v>3.0</v>
      </c>
      <c r="C27" s="10" t="s">
        <v>168</v>
      </c>
      <c r="D27" s="10" t="s">
        <v>169</v>
      </c>
      <c r="E27" s="10" t="str">
        <f>MID(IF(RIGHT(RACI!C26,1)="R",", Josyan Bonnemaison","")&amp;IF(RIGHT(RACI!D26,1)="R",", Nicole Marchant","")&amp;IF(RIGHT(RACI!E26,1)="R",", Katherine Rubilar",""),3,200)</f>
        <v>Nicole Marchant</v>
      </c>
      <c r="F27" s="34">
        <v>8.0</v>
      </c>
      <c r="G27" s="34">
        <v>8.0</v>
      </c>
      <c r="H27" s="34">
        <f t="shared" si="1"/>
        <v>1</v>
      </c>
      <c r="I27" s="34" t="str">
        <f t="shared" si="2"/>
        <v>Fase 2</v>
      </c>
      <c r="J27" s="8" t="s">
        <v>133</v>
      </c>
    </row>
    <row r="28" ht="12.75" customHeight="1">
      <c r="A28" s="10" t="s">
        <v>137</v>
      </c>
      <c r="B28" s="34">
        <v>3.0</v>
      </c>
      <c r="C28" s="10" t="s">
        <v>170</v>
      </c>
      <c r="D28" s="10" t="s">
        <v>171</v>
      </c>
      <c r="E28" s="10" t="str">
        <f>MID(IF(RIGHT(RACI!C27,1)="R",", Josyan Bonnemaison","")&amp;IF(RIGHT(RACI!D27,1)="R",", Nicole Marchant","")&amp;IF(RIGHT(RACI!E27,1)="R",", Katherine Rubilar",""),3,200)</f>
        <v>Nicole Marchant</v>
      </c>
      <c r="F28" s="34">
        <v>8.0</v>
      </c>
      <c r="G28" s="34">
        <v>8.0</v>
      </c>
      <c r="H28" s="34">
        <f t="shared" si="1"/>
        <v>1</v>
      </c>
      <c r="I28" s="34" t="str">
        <f t="shared" si="2"/>
        <v>Fase 2</v>
      </c>
      <c r="J28" s="8" t="s">
        <v>136</v>
      </c>
    </row>
    <row r="29" ht="12.75" customHeight="1">
      <c r="A29" s="10" t="s">
        <v>139</v>
      </c>
      <c r="B29" s="34">
        <v>3.0</v>
      </c>
      <c r="C29" s="10" t="s">
        <v>172</v>
      </c>
      <c r="D29" s="10" t="s">
        <v>173</v>
      </c>
      <c r="E29" s="10" t="str">
        <f>MID(IF(RIGHT(RACI!C28,1)="R",", Josyan Bonnemaison","")&amp;IF(RIGHT(RACI!D28,1)="R",", Nicole Marchant","")&amp;IF(RIGHT(RACI!E28,1)="R",", Katherine Rubilar",""),3,200)</f>
        <v>Nicole Marchant</v>
      </c>
      <c r="F29" s="34">
        <v>9.0</v>
      </c>
      <c r="G29" s="34">
        <v>9.0</v>
      </c>
      <c r="H29" s="34">
        <f t="shared" si="1"/>
        <v>1</v>
      </c>
      <c r="I29" s="34" t="str">
        <f t="shared" si="2"/>
        <v>Fase 2</v>
      </c>
      <c r="J29" s="8" t="s">
        <v>137</v>
      </c>
    </row>
    <row r="30" ht="12.75" customHeight="1">
      <c r="A30" s="23" t="s">
        <v>141</v>
      </c>
      <c r="B30" s="26">
        <v>2.0</v>
      </c>
      <c r="C30" s="23" t="s">
        <v>174</v>
      </c>
      <c r="D30" s="27"/>
      <c r="E30" s="27"/>
      <c r="F30" s="26">
        <f>MIN(F31:F34)</f>
        <v>10</v>
      </c>
      <c r="G30" s="26">
        <f>MAX(G31:G34)</f>
        <v>11</v>
      </c>
      <c r="H30" s="26">
        <f t="shared" si="1"/>
        <v>2</v>
      </c>
      <c r="I30" s="26" t="str">
        <f t="shared" si="2"/>
        <v>Fase 2</v>
      </c>
      <c r="J30" s="8"/>
    </row>
    <row r="31" ht="12.75" customHeight="1">
      <c r="A31" s="10" t="s">
        <v>143</v>
      </c>
      <c r="B31" s="34">
        <v>3.0</v>
      </c>
      <c r="C31" s="10" t="s">
        <v>175</v>
      </c>
      <c r="D31" s="10" t="s">
        <v>176</v>
      </c>
      <c r="E31" s="10" t="str">
        <f>MID(IF(RIGHT(RACI!C30,1)="R",", Josyan Bonnemaison","")&amp;IF(RIGHT(RACI!D30,1)="R",", Nicole Marchant","")&amp;IF(RIGHT(RACI!E30,1)="R",", Katherine Rubilar",""),3,200)</f>
        <v>Nicole Marchant</v>
      </c>
      <c r="F31" s="34">
        <v>10.0</v>
      </c>
      <c r="G31" s="34">
        <v>10.0</v>
      </c>
      <c r="H31" s="34">
        <f t="shared" si="1"/>
        <v>1</v>
      </c>
      <c r="I31" s="34" t="str">
        <f t="shared" si="2"/>
        <v>Fase 2</v>
      </c>
      <c r="J31" s="8" t="s">
        <v>139</v>
      </c>
    </row>
    <row r="32" ht="12.75" customHeight="1">
      <c r="A32" s="10" t="s">
        <v>148</v>
      </c>
      <c r="B32" s="34">
        <v>3.0</v>
      </c>
      <c r="C32" s="10" t="s">
        <v>177</v>
      </c>
      <c r="D32" s="10" t="s">
        <v>178</v>
      </c>
      <c r="E32" s="10" t="str">
        <f>MID(IF(RIGHT(RACI!C31,1)="R",", Josyan Bonnemaison","")&amp;IF(RIGHT(RACI!D31,1)="R",", Nicole Marchant","")&amp;IF(RIGHT(RACI!E31,1)="R",", Katherine Rubilar",""),3,200)</f>
        <v>Nicole Marchant</v>
      </c>
      <c r="F32" s="34">
        <v>10.0</v>
      </c>
      <c r="G32" s="34">
        <v>10.0</v>
      </c>
      <c r="H32" s="34">
        <f t="shared" si="1"/>
        <v>1</v>
      </c>
      <c r="I32" s="34" t="str">
        <f t="shared" si="2"/>
        <v>Fase 2</v>
      </c>
      <c r="J32" s="8" t="s">
        <v>179</v>
      </c>
    </row>
    <row r="33" ht="12.75" customHeight="1">
      <c r="A33" s="10" t="s">
        <v>149</v>
      </c>
      <c r="B33" s="34">
        <v>3.0</v>
      </c>
      <c r="C33" s="10" t="s">
        <v>180</v>
      </c>
      <c r="D33" s="10" t="s">
        <v>181</v>
      </c>
      <c r="E33" s="10" t="str">
        <f>MID(IF(RIGHT(RACI!C32,1)="R",", Josyan Bonnemaison","")&amp;IF(RIGHT(RACI!D32,1)="R",", Nicole Marchant","")&amp;IF(RIGHT(RACI!E32,1)="R",", Katherine Rubilar",""),3,200)</f>
        <v>Nicole Marchant</v>
      </c>
      <c r="F33" s="34">
        <v>11.0</v>
      </c>
      <c r="G33" s="34">
        <v>11.0</v>
      </c>
      <c r="H33" s="34">
        <f t="shared" si="1"/>
        <v>1</v>
      </c>
      <c r="I33" s="34" t="str">
        <f t="shared" si="2"/>
        <v>Fase 2</v>
      </c>
      <c r="J33" s="8" t="s">
        <v>148</v>
      </c>
    </row>
    <row r="34" ht="12.75" customHeight="1">
      <c r="A34" s="10" t="s">
        <v>150</v>
      </c>
      <c r="B34" s="34">
        <v>3.0</v>
      </c>
      <c r="C34" s="10" t="s">
        <v>182</v>
      </c>
      <c r="D34" s="10" t="s">
        <v>183</v>
      </c>
      <c r="E34" s="10" t="str">
        <f>MID(IF(RIGHT(RACI!C33,1)="R",", Josyan Bonnemaison","")&amp;IF(RIGHT(RACI!D33,1)="R",", Nicole Marchant","")&amp;IF(RIGHT(RACI!E33,1)="R",", Katherine Rubilar",""),3,200)</f>
        <v>Josyan Bonnemaison, Katherine Rubilar</v>
      </c>
      <c r="F34" s="34">
        <v>11.0</v>
      </c>
      <c r="G34" s="34">
        <v>11.0</v>
      </c>
      <c r="H34" s="34">
        <f t="shared" si="1"/>
        <v>1</v>
      </c>
      <c r="I34" s="34" t="str">
        <f t="shared" si="2"/>
        <v>Fase 2</v>
      </c>
      <c r="J34" s="8" t="s">
        <v>149</v>
      </c>
    </row>
    <row r="35" ht="12.75" customHeight="1">
      <c r="A35" s="23" t="s">
        <v>151</v>
      </c>
      <c r="B35" s="26">
        <v>2.0</v>
      </c>
      <c r="C35" s="23" t="s">
        <v>184</v>
      </c>
      <c r="D35" s="27"/>
      <c r="E35" s="27"/>
      <c r="F35" s="26">
        <f>MIN(F36:F41)</f>
        <v>2</v>
      </c>
      <c r="G35" s="26">
        <f>MAX(G36:G41)</f>
        <v>18</v>
      </c>
      <c r="H35" s="26">
        <f t="shared" si="1"/>
        <v>17</v>
      </c>
      <c r="I35" s="26" t="str">
        <f t="shared" si="2"/>
        <v>Transversal</v>
      </c>
      <c r="J35" s="8"/>
    </row>
    <row r="36" ht="12.75" customHeight="1">
      <c r="A36" s="10" t="s">
        <v>152</v>
      </c>
      <c r="B36" s="34">
        <v>3.0</v>
      </c>
      <c r="C36" s="10" t="s">
        <v>185</v>
      </c>
      <c r="D36" s="10" t="s">
        <v>186</v>
      </c>
      <c r="E36" s="10" t="str">
        <f>MID(IF(RIGHT(RACI!C35,1)="R",", Josyan Bonnemaison","")&amp;IF(RIGHT(RACI!D35,1)="R",", Nicole Marchant","")&amp;IF(RIGHT(RACI!E35,1)="R",", Katherine Rubilar",""),3,200)</f>
        <v>Nicole Marchant, Katherine Rubilar</v>
      </c>
      <c r="F36" s="34">
        <v>3.0</v>
      </c>
      <c r="G36" s="34">
        <v>11.0</v>
      </c>
      <c r="H36" s="34">
        <f t="shared" si="1"/>
        <v>9</v>
      </c>
      <c r="I36" s="34" t="str">
        <f t="shared" si="2"/>
        <v>Transversal</v>
      </c>
      <c r="J36" s="8" t="s">
        <v>116</v>
      </c>
    </row>
    <row r="37" ht="12.75" customHeight="1">
      <c r="A37" s="10" t="s">
        <v>157</v>
      </c>
      <c r="B37" s="34">
        <v>3.0</v>
      </c>
      <c r="C37" s="10" t="s">
        <v>187</v>
      </c>
      <c r="D37" s="10" t="s">
        <v>188</v>
      </c>
      <c r="E37" s="10" t="str">
        <f>MID(IF(RIGHT(RACI!C36,1)="R",", Josyan Bonnemaison","")&amp;IF(RIGHT(RACI!D36,1)="R",", Nicole Marchant","")&amp;IF(RIGHT(RACI!E36,1)="R",", Katherine Rubilar",""),3,200)</f>
        <v>Josyan Bonnemaison, Nicole Marchant, Katherine Rubilar</v>
      </c>
      <c r="F37" s="34">
        <v>12.0</v>
      </c>
      <c r="G37" s="34">
        <v>12.0</v>
      </c>
      <c r="H37" s="34">
        <f t="shared" si="1"/>
        <v>1</v>
      </c>
      <c r="I37" s="34" t="str">
        <f t="shared" si="2"/>
        <v>Fase 2</v>
      </c>
      <c r="J37" s="8" t="s">
        <v>150</v>
      </c>
    </row>
    <row r="38" ht="12.75" customHeight="1">
      <c r="A38" s="10" t="s">
        <v>158</v>
      </c>
      <c r="B38" s="34">
        <v>3.0</v>
      </c>
      <c r="C38" s="10" t="s">
        <v>189</v>
      </c>
      <c r="D38" s="10" t="s">
        <v>190</v>
      </c>
      <c r="E38" s="10" t="str">
        <f>MID(IF(RIGHT(RACI!C37,1)="R",", Josyan Bonnemaison","")&amp;IF(RIGHT(RACI!D37,1)="R",", Nicole Marchant","")&amp;IF(RIGHT(RACI!E37,1)="R",", Katherine Rubilar",""),3,200)</f>
        <v>Nicole Marchant, Katherine Rubilar</v>
      </c>
      <c r="F38" s="34">
        <v>2.0</v>
      </c>
      <c r="G38" s="34">
        <v>12.0</v>
      </c>
      <c r="H38" s="34">
        <f t="shared" si="1"/>
        <v>11</v>
      </c>
      <c r="I38" s="34" t="str">
        <f t="shared" si="2"/>
        <v>Transversal</v>
      </c>
      <c r="J38" s="8" t="s">
        <v>109</v>
      </c>
    </row>
    <row r="39" ht="12.75" customHeight="1">
      <c r="A39" s="10" t="s">
        <v>161</v>
      </c>
      <c r="B39" s="34">
        <v>3.0</v>
      </c>
      <c r="C39" s="10" t="s">
        <v>220</v>
      </c>
      <c r="D39" s="10" t="s">
        <v>221</v>
      </c>
      <c r="E39" s="10" t="str">
        <f>MID(IF(RIGHT(RACI!C38,1)="R",", Josyan Bonnemaison","")&amp;IF(RIGHT(RACI!D38,1)="R",", Nicole Marchant","")&amp;IF(RIGHT(RACI!E38,1)="R",", Katherine Rubilar",""),3,200)</f>
        <v>Nicole Marchant, Katherine Rubilar</v>
      </c>
      <c r="F39" s="34">
        <v>12.0</v>
      </c>
      <c r="G39" s="34">
        <v>12.0</v>
      </c>
      <c r="H39" s="34">
        <f t="shared" si="1"/>
        <v>1</v>
      </c>
      <c r="I39" s="34" t="str">
        <f t="shared" si="2"/>
        <v>Fase 2</v>
      </c>
      <c r="J39" s="8" t="s">
        <v>150</v>
      </c>
    </row>
    <row r="40" ht="12.75" customHeight="1">
      <c r="A40" s="10" t="s">
        <v>162</v>
      </c>
      <c r="B40" s="34">
        <v>3.0</v>
      </c>
      <c r="C40" s="10" t="s">
        <v>237</v>
      </c>
      <c r="D40" s="10" t="s">
        <v>239</v>
      </c>
      <c r="E40" s="10" t="str">
        <f>MID(IF(RIGHT(RACI!C39,1)="R",", Josyan Bonnemaison","")&amp;IF(RIGHT(RACI!D39,1)="R",", Nicole Marchant","")&amp;IF(RIGHT(RACI!E39,1)="R",", Katherine Rubilar",""),3,200)</f>
        <v>Josyan Bonnemaison, Nicole Marchant</v>
      </c>
      <c r="F40" s="34">
        <v>13.0</v>
      </c>
      <c r="G40" s="34">
        <v>15.0</v>
      </c>
      <c r="H40" s="34">
        <f t="shared" si="1"/>
        <v>3</v>
      </c>
      <c r="I40" s="34" t="str">
        <f t="shared" si="2"/>
        <v>Fase 3</v>
      </c>
      <c r="J40" s="8" t="s">
        <v>254</v>
      </c>
    </row>
    <row r="41" ht="12.75" customHeight="1">
      <c r="A41" s="10" t="s">
        <v>165</v>
      </c>
      <c r="B41" s="34">
        <v>3.0</v>
      </c>
      <c r="C41" s="10" t="s">
        <v>256</v>
      </c>
      <c r="D41" s="10" t="s">
        <v>257</v>
      </c>
      <c r="E41" s="10" t="str">
        <f>MID(IF(RIGHT(RACI!C40,1)="R",", Josyan Bonnemaison","")&amp;IF(RIGHT(RACI!D40,1)="R",", Nicole Marchant","")&amp;IF(RIGHT(RACI!E40,1)="R",", Katherine Rubilar",""),3,200)</f>
        <v>Josyan Bonnemaison, Nicole Marchant, Katherine Rubilar</v>
      </c>
      <c r="F41" s="34">
        <v>16.0</v>
      </c>
      <c r="G41" s="34">
        <v>18.0</v>
      </c>
      <c r="H41" s="34">
        <f t="shared" si="1"/>
        <v>3</v>
      </c>
      <c r="I41" s="34" t="str">
        <f t="shared" si="2"/>
        <v>Fase 3</v>
      </c>
      <c r="J41" s="8" t="s">
        <v>162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75"/>
  </cols>
  <sheetData>
    <row r="1" ht="18.0" customHeight="1">
      <c r="A1" s="1" t="s">
        <v>4</v>
      </c>
    </row>
    <row r="2" ht="12.75" customHeight="1">
      <c r="A2" s="3" t="s">
        <v>6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2" width="22.0"/>
    <col customWidth="1" min="3" max="3" width="80.0"/>
    <col customWidth="1" min="4" max="5" width="16.0"/>
    <col customWidth="1" min="6" max="26" width="8.75"/>
  </cols>
  <sheetData>
    <row r="1" ht="18.0" customHeight="1">
      <c r="A1" s="1" t="s">
        <v>0</v>
      </c>
    </row>
    <row r="2" ht="12.75" customHeight="1"/>
    <row r="3" ht="12.75" customHeight="1"/>
    <row r="4" ht="25.5" customHeight="1">
      <c r="A4" s="4" t="s">
        <v>3</v>
      </c>
      <c r="B4" s="4" t="s">
        <v>8</v>
      </c>
      <c r="C4" s="4" t="s">
        <v>9</v>
      </c>
      <c r="D4" s="4" t="s">
        <v>10</v>
      </c>
      <c r="E4" s="4" t="s">
        <v>11</v>
      </c>
    </row>
    <row r="5" ht="45.0" customHeight="1">
      <c r="A5" s="6" t="s">
        <v>14</v>
      </c>
      <c r="B5" s="7" t="s">
        <v>20</v>
      </c>
      <c r="C5" s="7" t="s">
        <v>24</v>
      </c>
      <c r="D5" s="14">
        <f>COUNTIF(RACI!C:C,"A*")</f>
        <v>9</v>
      </c>
      <c r="E5" s="14">
        <f>COUNTIF(RACI!C:C,"*R")</f>
        <v>11</v>
      </c>
    </row>
    <row r="6" ht="45.0" customHeight="1">
      <c r="A6" s="6" t="s">
        <v>41</v>
      </c>
      <c r="B6" s="7" t="s">
        <v>42</v>
      </c>
      <c r="C6" s="7" t="s">
        <v>44</v>
      </c>
      <c r="D6" s="14">
        <f>COUNTIF(RACI!D:D,"A*")</f>
        <v>11</v>
      </c>
      <c r="E6" s="14">
        <f>COUNTIF(RACI!D:D,"*R")</f>
        <v>22</v>
      </c>
    </row>
    <row r="7" ht="45.0" customHeight="1">
      <c r="A7" s="16" t="s">
        <v>55</v>
      </c>
      <c r="B7" s="7" t="s">
        <v>59</v>
      </c>
      <c r="C7" s="7" t="s">
        <v>61</v>
      </c>
      <c r="D7" s="14">
        <f>COUNTIF(RACI!E:E,"A*")</f>
        <v>10</v>
      </c>
      <c r="E7" s="14">
        <f>COUNTIF(RACI!E:E,"*R")</f>
        <v>13</v>
      </c>
    </row>
    <row r="8" ht="45.0" customHeight="1">
      <c r="A8" s="18"/>
      <c r="B8" s="19"/>
      <c r="C8" s="20"/>
      <c r="D8" s="22"/>
      <c r="E8" s="22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46.0"/>
    <col customWidth="1" min="3" max="5" width="18.0"/>
    <col customWidth="1" min="6" max="6" width="14.0"/>
    <col customWidth="1" min="7" max="7" width="16.0"/>
    <col customWidth="1" min="8" max="26" width="8.75"/>
  </cols>
  <sheetData>
    <row r="1" ht="18.0" customHeight="1">
      <c r="A1" s="1" t="s">
        <v>78</v>
      </c>
    </row>
    <row r="2" ht="12.75" customHeight="1">
      <c r="A2" s="3" t="s">
        <v>79</v>
      </c>
    </row>
    <row r="3" ht="12.75" customHeight="1"/>
    <row r="4" ht="48.75" customHeight="1">
      <c r="A4" s="5" t="s">
        <v>80</v>
      </c>
      <c r="B4" s="5" t="s">
        <v>13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</row>
    <row r="5" ht="12.75" customHeight="1">
      <c r="A5" s="23" t="s">
        <v>67</v>
      </c>
      <c r="B5" s="23" t="str">
        <f>EDT!C6</f>
        <v>Gestión del proyecto</v>
      </c>
      <c r="C5" s="27"/>
      <c r="D5" s="27"/>
      <c r="E5" s="27"/>
      <c r="F5" s="27"/>
      <c r="G5" s="27"/>
    </row>
    <row r="6" ht="12.75" customHeight="1">
      <c r="A6" s="10" t="s">
        <v>71</v>
      </c>
      <c r="B6" s="10" t="str">
        <f>EDT!C7</f>
        <v>Definición de alcance y backlog del MVP</v>
      </c>
      <c r="C6" s="39" t="s">
        <v>89</v>
      </c>
      <c r="D6" s="39" t="s">
        <v>93</v>
      </c>
      <c r="E6" s="39" t="s">
        <v>94</v>
      </c>
      <c r="F6" s="39" t="s">
        <v>89</v>
      </c>
      <c r="G6" s="34" t="str">
        <f t="shared" ref="G6:G10" si="1">IF(AND(COUNTIF(C6:F6,"A*")=1,COUNTIF(C6:F6,"*R")&gt;=1,OR(LEFT(A6,4)&lt;&gt;"1.1.",COUNTIF(C6:F6,"A/R")=0)),"OK","Revisar: 1 A, al menos 1 R; en Gestión, A y R separados")</f>
        <v>OK</v>
      </c>
    </row>
    <row r="7" ht="12.75" customHeight="1">
      <c r="A7" s="10" t="s">
        <v>86</v>
      </c>
      <c r="B7" s="10" t="str">
        <f>EDT!C8</f>
        <v>Plan de trabajo y carta Gantt</v>
      </c>
      <c r="C7" s="39" t="s">
        <v>93</v>
      </c>
      <c r="D7" s="39" t="s">
        <v>89</v>
      </c>
      <c r="E7" s="39" t="s">
        <v>94</v>
      </c>
      <c r="F7" s="39" t="s">
        <v>98</v>
      </c>
      <c r="G7" s="34" t="str">
        <f t="shared" si="1"/>
        <v>OK</v>
      </c>
    </row>
    <row r="8" ht="12.75" customHeight="1">
      <c r="A8" s="10" t="s">
        <v>90</v>
      </c>
      <c r="B8" s="10" t="str">
        <f>EDT!C9</f>
        <v>Asignación de roles y responsabilidades</v>
      </c>
      <c r="C8" s="39" t="s">
        <v>93</v>
      </c>
      <c r="D8" s="39" t="s">
        <v>89</v>
      </c>
      <c r="E8" s="39" t="s">
        <v>94</v>
      </c>
      <c r="F8" s="39" t="s">
        <v>98</v>
      </c>
      <c r="G8" s="34" t="str">
        <f t="shared" si="1"/>
        <v>OK</v>
      </c>
    </row>
    <row r="9" ht="12.75" customHeight="1">
      <c r="A9" s="10" t="s">
        <v>95</v>
      </c>
      <c r="B9" s="10" t="str">
        <f>EDT!C10</f>
        <v>Gestión de riesgos</v>
      </c>
      <c r="C9" s="39" t="s">
        <v>89</v>
      </c>
      <c r="D9" s="39" t="s">
        <v>93</v>
      </c>
      <c r="E9" s="39" t="s">
        <v>94</v>
      </c>
      <c r="F9" s="39" t="s">
        <v>98</v>
      </c>
      <c r="G9" s="34" t="str">
        <f t="shared" si="1"/>
        <v>OK</v>
      </c>
    </row>
    <row r="10" ht="12.75" customHeight="1">
      <c r="A10" s="10" t="s">
        <v>99</v>
      </c>
      <c r="B10" s="10" t="str">
        <f>EDT!C11</f>
        <v>Seguimiento y control del avance</v>
      </c>
      <c r="C10" s="39" t="s">
        <v>93</v>
      </c>
      <c r="D10" s="39" t="s">
        <v>89</v>
      </c>
      <c r="E10" s="39" t="s">
        <v>94</v>
      </c>
      <c r="F10" s="39" t="s">
        <v>98</v>
      </c>
      <c r="G10" s="34" t="str">
        <f t="shared" si="1"/>
        <v>OK</v>
      </c>
    </row>
    <row r="11" ht="12.75" customHeight="1">
      <c r="A11" s="23" t="s">
        <v>72</v>
      </c>
      <c r="B11" s="23" t="str">
        <f>EDT!C12</f>
        <v>Análisis y diseño</v>
      </c>
      <c r="C11" s="10"/>
      <c r="D11" s="10"/>
      <c r="E11" s="10"/>
      <c r="F11" s="10"/>
      <c r="G11" s="27"/>
    </row>
    <row r="12" ht="12.75" customHeight="1">
      <c r="A12" s="10" t="s">
        <v>102</v>
      </c>
      <c r="B12" s="10" t="str">
        <f>EDT!C13</f>
        <v>Requerimientos e historias de usuario</v>
      </c>
      <c r="C12" s="39" t="s">
        <v>89</v>
      </c>
      <c r="D12" s="39" t="s">
        <v>94</v>
      </c>
      <c r="E12" s="39" t="s">
        <v>104</v>
      </c>
      <c r="F12" s="39" t="s">
        <v>89</v>
      </c>
      <c r="G12" s="34" t="str">
        <f t="shared" ref="G12:G17" si="2">IF(AND(COUNTIF(C12:F12,"A*")=1,COUNTIF(C12:F12,"*R")&gt;=1,OR(LEFT(A12,4)&lt;&gt;"1.1.",COUNTIF(C12:F12,"A/R")=0)),"OK","Revisar: 1 A, al menos 1 R; en Gestión, A y R separados")</f>
        <v>OK</v>
      </c>
    </row>
    <row r="13" ht="12.75" customHeight="1">
      <c r="A13" s="10" t="s">
        <v>107</v>
      </c>
      <c r="B13" s="10" t="str">
        <f>EDT!C14</f>
        <v>Modelado de procesos (BPMN) y casos de uso</v>
      </c>
      <c r="C13" s="39" t="s">
        <v>104</v>
      </c>
      <c r="D13" s="39" t="s">
        <v>89</v>
      </c>
      <c r="E13" s="39" t="s">
        <v>89</v>
      </c>
      <c r="F13" s="39" t="s">
        <v>89</v>
      </c>
      <c r="G13" s="34" t="str">
        <f t="shared" si="2"/>
        <v>OK</v>
      </c>
    </row>
    <row r="14" ht="12.75" customHeight="1">
      <c r="A14" s="10" t="s">
        <v>109</v>
      </c>
      <c r="B14" s="10" t="str">
        <f>EDT!C15</f>
        <v>Arquitectura del sistema</v>
      </c>
      <c r="C14" s="39" t="s">
        <v>89</v>
      </c>
      <c r="D14" s="39" t="s">
        <v>104</v>
      </c>
      <c r="E14" s="39" t="s">
        <v>89</v>
      </c>
      <c r="F14" s="39" t="s">
        <v>89</v>
      </c>
      <c r="G14" s="34" t="str">
        <f t="shared" si="2"/>
        <v>OK</v>
      </c>
    </row>
    <row r="15" ht="12.75" customHeight="1">
      <c r="A15" s="10" t="s">
        <v>111</v>
      </c>
      <c r="B15" s="10" t="str">
        <f>EDT!C16</f>
        <v>Modelo de datos operacional y analítico</v>
      </c>
      <c r="C15" s="39" t="s">
        <v>98</v>
      </c>
      <c r="D15" s="39" t="s">
        <v>104</v>
      </c>
      <c r="E15" s="39" t="s">
        <v>89</v>
      </c>
      <c r="F15" s="39" t="s">
        <v>89</v>
      </c>
      <c r="G15" s="34" t="str">
        <f t="shared" si="2"/>
        <v>OK</v>
      </c>
    </row>
    <row r="16" ht="12.75" customHeight="1">
      <c r="A16" s="10" t="s">
        <v>114</v>
      </c>
      <c r="B16" s="10" t="str">
        <f>EDT!C17</f>
        <v>Diseño UI/UX y mockups</v>
      </c>
      <c r="C16" s="39" t="s">
        <v>104</v>
      </c>
      <c r="D16" s="39" t="s">
        <v>89</v>
      </c>
      <c r="E16" s="39" t="s">
        <v>89</v>
      </c>
      <c r="F16" s="39" t="s">
        <v>98</v>
      </c>
      <c r="G16" s="34" t="str">
        <f t="shared" si="2"/>
        <v>OK</v>
      </c>
    </row>
    <row r="17" ht="12.75" customHeight="1">
      <c r="A17" s="10" t="s">
        <v>116</v>
      </c>
      <c r="B17" s="10" t="str">
        <f>EDT!C18</f>
        <v>Contratos de API</v>
      </c>
      <c r="C17" s="39" t="s">
        <v>89</v>
      </c>
      <c r="D17" s="39" t="s">
        <v>104</v>
      </c>
      <c r="E17" s="39" t="s">
        <v>89</v>
      </c>
      <c r="F17" s="39" t="s">
        <v>98</v>
      </c>
      <c r="G17" s="34" t="str">
        <f t="shared" si="2"/>
        <v>OK</v>
      </c>
    </row>
    <row r="18" ht="12.75" customHeight="1">
      <c r="A18" s="23" t="s">
        <v>76</v>
      </c>
      <c r="B18" s="23" t="str">
        <f>EDT!C19</f>
        <v>Desarrollo de la aplicación web</v>
      </c>
      <c r="C18" s="10"/>
      <c r="D18" s="10"/>
      <c r="E18" s="10"/>
      <c r="F18" s="10"/>
      <c r="G18" s="27"/>
    </row>
    <row r="19" ht="12.75" customHeight="1">
      <c r="A19" s="10" t="s">
        <v>121</v>
      </c>
      <c r="B19" s="10" t="str">
        <f>EDT!C20</f>
        <v>Autenticación, usuarios y perfil lector</v>
      </c>
      <c r="C19" s="39" t="s">
        <v>94</v>
      </c>
      <c r="D19" s="39" t="s">
        <v>104</v>
      </c>
      <c r="E19" s="39" t="s">
        <v>98</v>
      </c>
      <c r="F19" s="39" t="s">
        <v>98</v>
      </c>
      <c r="G19" s="34" t="str">
        <f t="shared" ref="G19:G23" si="3">IF(AND(COUNTIF(C19:F19,"A*")=1,COUNTIF(C19:F19,"*R")&gt;=1,OR(LEFT(A19,4)&lt;&gt;"1.1.",COUNTIF(C19:F19,"A/R")=0)),"OK","Revisar: 1 A, al menos 1 R; en Gestión, A y R separados")</f>
        <v>OK</v>
      </c>
    </row>
    <row r="20" ht="12.75" customHeight="1">
      <c r="A20" s="10" t="s">
        <v>126</v>
      </c>
      <c r="B20" s="10" t="str">
        <f>EDT!C21</f>
        <v>Catálogo y búsqueda de libros</v>
      </c>
      <c r="C20" s="39" t="s">
        <v>94</v>
      </c>
      <c r="D20" s="39" t="s">
        <v>104</v>
      </c>
      <c r="E20" s="39" t="s">
        <v>98</v>
      </c>
      <c r="F20" s="39" t="s">
        <v>98</v>
      </c>
      <c r="G20" s="34" t="str">
        <f t="shared" si="3"/>
        <v>OK</v>
      </c>
    </row>
    <row r="21" ht="12.75" customHeight="1">
      <c r="A21" s="10" t="s">
        <v>127</v>
      </c>
      <c r="B21" s="10" t="str">
        <f>EDT!C22</f>
        <v>Biblioteca personal y estados de lectura</v>
      </c>
      <c r="C21" s="39" t="s">
        <v>94</v>
      </c>
      <c r="D21" s="39" t="s">
        <v>104</v>
      </c>
      <c r="E21" s="39" t="s">
        <v>98</v>
      </c>
      <c r="F21" s="39" t="s">
        <v>98</v>
      </c>
      <c r="G21" s="34" t="str">
        <f t="shared" si="3"/>
        <v>OK</v>
      </c>
    </row>
    <row r="22" ht="12.75" customHeight="1">
      <c r="A22" s="10" t="s">
        <v>128</v>
      </c>
      <c r="B22" s="10" t="str">
        <f>EDT!C23</f>
        <v>Valoraciones, reseñas y emociones</v>
      </c>
      <c r="C22" s="39" t="s">
        <v>94</v>
      </c>
      <c r="D22" s="39" t="s">
        <v>104</v>
      </c>
      <c r="E22" s="39" t="s">
        <v>89</v>
      </c>
      <c r="F22" s="39" t="s">
        <v>89</v>
      </c>
      <c r="G22" s="34" t="str">
        <f t="shared" si="3"/>
        <v>OK</v>
      </c>
    </row>
    <row r="23" ht="12.75" customHeight="1">
      <c r="A23" s="10" t="s">
        <v>131</v>
      </c>
      <c r="B23" s="10" t="str">
        <f>EDT!C24</f>
        <v>Integración frontend-backend</v>
      </c>
      <c r="C23" s="39" t="s">
        <v>104</v>
      </c>
      <c r="D23" s="39" t="s">
        <v>94</v>
      </c>
      <c r="E23" s="39" t="s">
        <v>94</v>
      </c>
      <c r="F23" s="39" t="s">
        <v>98</v>
      </c>
      <c r="G23" s="34" t="str">
        <f t="shared" si="3"/>
        <v>OK</v>
      </c>
    </row>
    <row r="24" ht="12.75" customHeight="1">
      <c r="A24" s="23" t="s">
        <v>132</v>
      </c>
      <c r="B24" s="23" t="str">
        <f>EDT!C25</f>
        <v>Ingeniería de datos (ETL)</v>
      </c>
      <c r="C24" s="10"/>
      <c r="D24" s="10"/>
      <c r="E24" s="10"/>
      <c r="F24" s="10"/>
      <c r="G24" s="27"/>
    </row>
    <row r="25" ht="12.75" customHeight="1">
      <c r="A25" s="10" t="s">
        <v>133</v>
      </c>
      <c r="B25" s="10" t="str">
        <f>EDT!C26</f>
        <v>Extracción de datos operacionales</v>
      </c>
      <c r="C25" s="39" t="s">
        <v>98</v>
      </c>
      <c r="D25" s="39" t="s">
        <v>94</v>
      </c>
      <c r="E25" s="39" t="s">
        <v>93</v>
      </c>
      <c r="F25" s="39" t="s">
        <v>98</v>
      </c>
      <c r="G25" s="34" t="str">
        <f t="shared" ref="G25:G28" si="4">IF(AND(COUNTIF(C25:F25,"A*")=1,COUNTIF(C25:F25,"*R")&gt;=1,OR(LEFT(A25,4)&lt;&gt;"1.1.",COUNTIF(C25:F25,"A/R")=0)),"OK","Revisar: 1 A, al menos 1 R; en Gestión, A y R separados")</f>
        <v>OK</v>
      </c>
    </row>
    <row r="26" ht="12.75" customHeight="1">
      <c r="A26" s="10" t="s">
        <v>136</v>
      </c>
      <c r="B26" s="10" t="str">
        <f>EDT!C27</f>
        <v>Limpieza y normalización</v>
      </c>
      <c r="C26" s="39" t="s">
        <v>98</v>
      </c>
      <c r="D26" s="39" t="s">
        <v>94</v>
      </c>
      <c r="E26" s="39" t="s">
        <v>93</v>
      </c>
      <c r="F26" s="39" t="s">
        <v>98</v>
      </c>
      <c r="G26" s="34" t="str">
        <f t="shared" si="4"/>
        <v>OK</v>
      </c>
    </row>
    <row r="27" ht="12.75" customHeight="1">
      <c r="A27" s="10" t="s">
        <v>137</v>
      </c>
      <c r="B27" s="10" t="str">
        <f>EDT!C28</f>
        <v>Transformación y carga en capa analítica</v>
      </c>
      <c r="C27" s="39" t="s">
        <v>98</v>
      </c>
      <c r="D27" s="39" t="s">
        <v>94</v>
      </c>
      <c r="E27" s="39" t="s">
        <v>93</v>
      </c>
      <c r="F27" s="39" t="s">
        <v>98</v>
      </c>
      <c r="G27" s="34" t="str">
        <f t="shared" si="4"/>
        <v>OK</v>
      </c>
    </row>
    <row r="28" ht="12.75" customHeight="1">
      <c r="A28" s="10" t="s">
        <v>139</v>
      </c>
      <c r="B28" s="10" t="str">
        <f>EDT!C29</f>
        <v>Generación de variables analíticas</v>
      </c>
      <c r="C28" s="39" t="s">
        <v>89</v>
      </c>
      <c r="D28" s="39" t="s">
        <v>94</v>
      </c>
      <c r="E28" s="39" t="s">
        <v>93</v>
      </c>
      <c r="F28" s="39" t="s">
        <v>98</v>
      </c>
      <c r="G28" s="34" t="str">
        <f t="shared" si="4"/>
        <v>OK</v>
      </c>
    </row>
    <row r="29" ht="12.75" customHeight="1">
      <c r="A29" s="23" t="s">
        <v>141</v>
      </c>
      <c r="B29" s="23" t="str">
        <f>EDT!C30</f>
        <v>Inteligencia artificial</v>
      </c>
      <c r="C29" s="10"/>
      <c r="D29" s="10"/>
      <c r="E29" s="10"/>
      <c r="F29" s="10"/>
      <c r="G29" s="27"/>
    </row>
    <row r="30" ht="12.75" customHeight="1">
      <c r="A30" s="10" t="s">
        <v>143</v>
      </c>
      <c r="B30" s="10" t="str">
        <f>EDT!C31</f>
        <v>Diseño del prompt y restricciones éticas</v>
      </c>
      <c r="C30" s="39" t="s">
        <v>89</v>
      </c>
      <c r="D30" s="39" t="s">
        <v>94</v>
      </c>
      <c r="E30" s="39" t="s">
        <v>93</v>
      </c>
      <c r="F30" s="39" t="s">
        <v>89</v>
      </c>
      <c r="G30" s="34" t="str">
        <f t="shared" ref="G30:G33" si="5">IF(AND(COUNTIF(C30:F30,"A*")=1,COUNTIF(C30:F30,"*R")&gt;=1,OR(LEFT(A30,4)&lt;&gt;"1.1.",COUNTIF(C30:F30,"A/R")=0)),"OK","Revisar: 1 A, al menos 1 R; en Gestión, A y R separados")</f>
        <v>OK</v>
      </c>
    </row>
    <row r="31" ht="12.75" customHeight="1">
      <c r="A31" s="10" t="s">
        <v>148</v>
      </c>
      <c r="B31" s="10" t="str">
        <f>EDT!C32</f>
        <v>Servicio de integración con el modelo de lenguaje (Ollama)</v>
      </c>
      <c r="C31" s="39" t="s">
        <v>89</v>
      </c>
      <c r="D31" s="39" t="s">
        <v>94</v>
      </c>
      <c r="E31" s="39" t="s">
        <v>93</v>
      </c>
      <c r="F31" s="39" t="s">
        <v>98</v>
      </c>
      <c r="G31" s="34" t="str">
        <f t="shared" si="5"/>
        <v>OK</v>
      </c>
    </row>
    <row r="32" ht="12.75" customHeight="1">
      <c r="A32" s="10" t="s">
        <v>149</v>
      </c>
      <c r="B32" s="10" t="str">
        <f>EDT!C33</f>
        <v>Análisis de perfil lector y recepción de obra</v>
      </c>
      <c r="C32" s="39" t="s">
        <v>89</v>
      </c>
      <c r="D32" s="39" t="s">
        <v>94</v>
      </c>
      <c r="E32" s="39" t="s">
        <v>93</v>
      </c>
      <c r="F32" s="39" t="s">
        <v>98</v>
      </c>
      <c r="G32" s="34" t="str">
        <f t="shared" si="5"/>
        <v>OK</v>
      </c>
    </row>
    <row r="33" ht="12.75" customHeight="1">
      <c r="A33" s="10" t="s">
        <v>150</v>
      </c>
      <c r="B33" s="10" t="str">
        <f>EDT!C34</f>
        <v>Visualización de resultados</v>
      </c>
      <c r="C33" s="39" t="s">
        <v>104</v>
      </c>
      <c r="D33" s="39" t="s">
        <v>89</v>
      </c>
      <c r="E33" s="39" t="s">
        <v>94</v>
      </c>
      <c r="F33" s="39" t="s">
        <v>98</v>
      </c>
      <c r="G33" s="34" t="str">
        <f t="shared" si="5"/>
        <v>OK</v>
      </c>
    </row>
    <row r="34" ht="12.75" customHeight="1">
      <c r="A34" s="23" t="s">
        <v>151</v>
      </c>
      <c r="B34" s="23" t="str">
        <f>EDT!C35</f>
        <v>Calidad y cierre</v>
      </c>
      <c r="C34" s="10"/>
      <c r="D34" s="10"/>
      <c r="E34" s="10"/>
      <c r="F34" s="10"/>
      <c r="G34" s="27"/>
    </row>
    <row r="35" ht="12.75" customHeight="1">
      <c r="A35" s="10" t="s">
        <v>152</v>
      </c>
      <c r="B35" s="10" t="str">
        <f>EDT!C36</f>
        <v>Pruebas unitarias y de API</v>
      </c>
      <c r="C35" s="39" t="s">
        <v>98</v>
      </c>
      <c r="D35" s="39" t="s">
        <v>104</v>
      </c>
      <c r="E35" s="39" t="s">
        <v>94</v>
      </c>
      <c r="F35" s="39" t="s">
        <v>98</v>
      </c>
      <c r="G35" s="34" t="str">
        <f t="shared" ref="G35:G40" si="6">IF(AND(COUNTIF(C35:F35,"A*")=1,COUNTIF(C35:F35,"*R")&gt;=1,OR(LEFT(A35,4)&lt;&gt;"1.1.",COUNTIF(C35:F35,"A/R")=0)),"OK","Revisar: 1 A, al menos 1 R; en Gestión, A y R separados")</f>
        <v>OK</v>
      </c>
    </row>
    <row r="36" ht="12.75" customHeight="1">
      <c r="A36" s="10" t="s">
        <v>157</v>
      </c>
      <c r="B36" s="10" t="str">
        <f>EDT!C37</f>
        <v>Pruebas funcionales e integrales</v>
      </c>
      <c r="C36" s="39" t="s">
        <v>104</v>
      </c>
      <c r="D36" s="39" t="s">
        <v>94</v>
      </c>
      <c r="E36" s="39" t="s">
        <v>94</v>
      </c>
      <c r="F36" s="39" t="s">
        <v>98</v>
      </c>
      <c r="G36" s="34" t="str">
        <f t="shared" si="6"/>
        <v>OK</v>
      </c>
    </row>
    <row r="37" ht="12.75" customHeight="1">
      <c r="A37" s="10" t="s">
        <v>158</v>
      </c>
      <c r="B37" s="10" t="str">
        <f>EDT!C38</f>
        <v>Seguridad y protección de datos</v>
      </c>
      <c r="C37" s="39" t="s">
        <v>89</v>
      </c>
      <c r="D37" s="39" t="s">
        <v>104</v>
      </c>
      <c r="E37" s="39" t="s">
        <v>94</v>
      </c>
      <c r="F37" s="39" t="s">
        <v>98</v>
      </c>
      <c r="G37" s="34" t="str">
        <f t="shared" si="6"/>
        <v>OK</v>
      </c>
    </row>
    <row r="38" ht="12.75" customHeight="1">
      <c r="A38" s="10" t="s">
        <v>161</v>
      </c>
      <c r="B38" s="10" t="str">
        <f>EDT!C39</f>
        <v>Documentación técnica</v>
      </c>
      <c r="C38" s="39" t="s">
        <v>93</v>
      </c>
      <c r="D38" s="39" t="s">
        <v>94</v>
      </c>
      <c r="E38" s="39" t="s">
        <v>94</v>
      </c>
      <c r="F38" s="39" t="s">
        <v>98</v>
      </c>
      <c r="G38" s="34" t="str">
        <f t="shared" si="6"/>
        <v>OK</v>
      </c>
    </row>
    <row r="39" ht="12.75" customHeight="1">
      <c r="A39" s="10" t="s">
        <v>162</v>
      </c>
      <c r="B39" s="10" t="str">
        <f>EDT!C40</f>
        <v>Ajustes críticos y consolidación de evidencias</v>
      </c>
      <c r="C39" s="39" t="s">
        <v>94</v>
      </c>
      <c r="D39" s="39" t="s">
        <v>94</v>
      </c>
      <c r="E39" s="39" t="s">
        <v>93</v>
      </c>
      <c r="F39" s="39" t="s">
        <v>98</v>
      </c>
      <c r="G39" s="34" t="str">
        <f t="shared" si="6"/>
        <v>OK</v>
      </c>
    </row>
    <row r="40" ht="12.75" customHeight="1">
      <c r="A40" s="10" t="s">
        <v>165</v>
      </c>
      <c r="B40" s="10" t="str">
        <f>EDT!C41</f>
        <v>Informe y presentación final</v>
      </c>
      <c r="C40" s="39" t="s">
        <v>94</v>
      </c>
      <c r="D40" s="39" t="s">
        <v>94</v>
      </c>
      <c r="E40" s="39" t="s">
        <v>104</v>
      </c>
      <c r="F40" s="39" t="s">
        <v>89</v>
      </c>
      <c r="G40" s="34" t="str">
        <f t="shared" si="6"/>
        <v>OK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C5:F40">
    <cfRule type="expression" dxfId="0" priority="1">
      <formula>LEFT(C5,1)="A"</formula>
    </cfRule>
  </conditionalFormatting>
  <conditionalFormatting sqref="C5:F40">
    <cfRule type="cellIs" dxfId="1" priority="2" operator="equal">
      <formula>"R"</formula>
    </cfRule>
  </conditionalFormatting>
  <conditionalFormatting sqref="C5:F40">
    <cfRule type="cellIs" dxfId="2" priority="3" operator="equal">
      <formula>"C"</formula>
    </cfRule>
  </conditionalFormatting>
  <conditionalFormatting sqref="C5:F40">
    <cfRule type="cellIs" dxfId="3" priority="4" operator="equal">
      <formula>"I"</formula>
    </cfRule>
  </conditionalFormatting>
  <conditionalFormatting sqref="G5:G40">
    <cfRule type="expression" dxfId="4" priority="5">
      <formula>LEFT(G5,7)="Revisar"</formula>
    </cfRule>
  </conditionalFormatting>
  <dataValidations>
    <dataValidation type="list" allowBlank="1" sqref="C6:F10 C12:F17 C19:F23 C25:F28 C30:F33 C35:F40">
      <formula1>"R,A,A/R,C,I"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44.0"/>
    <col customWidth="1" min="3" max="3" width="30.0"/>
    <col customWidth="1" min="4" max="5" width="7.0"/>
    <col customWidth="1" min="6" max="23" width="4.13"/>
    <col customWidth="1" min="24" max="24" width="22.0"/>
    <col customWidth="1" min="25" max="26" width="8.75"/>
  </cols>
  <sheetData>
    <row r="1" ht="18.0" customHeight="1">
      <c r="A1" s="1" t="s">
        <v>108</v>
      </c>
    </row>
    <row r="2" ht="12.75" customHeight="1">
      <c r="A2" s="2"/>
    </row>
    <row r="3" ht="15.0" customHeight="1">
      <c r="F3" s="40" t="s">
        <v>110</v>
      </c>
      <c r="G3" s="41"/>
      <c r="H3" s="41"/>
      <c r="I3" s="41"/>
      <c r="J3" s="41"/>
      <c r="K3" s="42"/>
      <c r="L3" s="43" t="s">
        <v>115</v>
      </c>
      <c r="M3" s="41"/>
      <c r="N3" s="41"/>
      <c r="O3" s="41"/>
      <c r="P3" s="41"/>
      <c r="Q3" s="42"/>
      <c r="R3" s="44" t="s">
        <v>117</v>
      </c>
      <c r="S3" s="41"/>
      <c r="T3" s="41"/>
      <c r="U3" s="41"/>
      <c r="V3" s="41"/>
      <c r="W3" s="42"/>
    </row>
    <row r="4" ht="12.75" customHeight="1">
      <c r="A4" s="5" t="s">
        <v>7</v>
      </c>
      <c r="B4" s="5" t="s">
        <v>13</v>
      </c>
      <c r="C4" s="5" t="s">
        <v>120</v>
      </c>
      <c r="D4" s="5" t="s">
        <v>122</v>
      </c>
      <c r="E4" s="5" t="s">
        <v>123</v>
      </c>
      <c r="F4" s="45">
        <v>1.0</v>
      </c>
      <c r="G4" s="45">
        <v>2.0</v>
      </c>
      <c r="H4" s="45">
        <v>3.0</v>
      </c>
      <c r="I4" s="45">
        <v>4.0</v>
      </c>
      <c r="J4" s="45">
        <v>5.0</v>
      </c>
      <c r="K4" s="45">
        <v>6.0</v>
      </c>
      <c r="L4" s="45">
        <v>7.0</v>
      </c>
      <c r="M4" s="45">
        <v>8.0</v>
      </c>
      <c r="N4" s="45">
        <v>9.0</v>
      </c>
      <c r="O4" s="45">
        <v>10.0</v>
      </c>
      <c r="P4" s="45">
        <v>11.0</v>
      </c>
      <c r="Q4" s="45">
        <v>12.0</v>
      </c>
      <c r="R4" s="45">
        <v>13.0</v>
      </c>
      <c r="S4" s="45">
        <v>14.0</v>
      </c>
      <c r="T4" s="45">
        <v>15.0</v>
      </c>
      <c r="U4" s="45">
        <v>16.0</v>
      </c>
      <c r="V4" s="45">
        <v>17.0</v>
      </c>
      <c r="W4" s="45">
        <v>18.0</v>
      </c>
      <c r="X4" s="8" t="s">
        <v>23</v>
      </c>
    </row>
    <row r="5" ht="12.75" customHeight="1">
      <c r="A5" s="23" t="s">
        <v>67</v>
      </c>
      <c r="B5" s="23" t="str">
        <f>EDT!C6</f>
        <v>Gestión del proyecto</v>
      </c>
      <c r="C5" s="23"/>
      <c r="D5" s="26">
        <f>EDT!F6</f>
        <v>1</v>
      </c>
      <c r="E5" s="26">
        <f>EDT!G6</f>
        <v>18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8" t="str">
        <f>IF(EDT!J6="","",EDT!J6)</f>
        <v/>
      </c>
    </row>
    <row r="6" ht="12.75" customHeight="1">
      <c r="A6" s="10" t="s">
        <v>71</v>
      </c>
      <c r="B6" s="10" t="str">
        <f>EDT!C7</f>
        <v>Definición de alcance y backlog del MVP</v>
      </c>
      <c r="C6" s="10" t="str">
        <f>IF(EDT!E7=0,"",EDT!E7)</f>
        <v>Katherine Rubilar</v>
      </c>
      <c r="D6" s="34">
        <f>EDT!F7</f>
        <v>1</v>
      </c>
      <c r="E6" s="34">
        <f>EDT!G7</f>
        <v>1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8" t="str">
        <f>IF(EDT!J7="","",EDT!J7)</f>
        <v/>
      </c>
    </row>
    <row r="7" ht="12.75" customHeight="1">
      <c r="A7" s="10" t="s">
        <v>86</v>
      </c>
      <c r="B7" s="10" t="str">
        <f>EDT!C8</f>
        <v>Plan de trabajo y carta Gantt</v>
      </c>
      <c r="C7" s="10" t="str">
        <f>IF(EDT!E8=0,"",EDT!E8)</f>
        <v>Katherine Rubilar</v>
      </c>
      <c r="D7" s="34">
        <f>EDT!F8</f>
        <v>1</v>
      </c>
      <c r="E7" s="34">
        <f>EDT!G8</f>
        <v>1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8" t="str">
        <f>IF(EDT!J8="","",EDT!J8)</f>
        <v>1.1.1</v>
      </c>
    </row>
    <row r="8" ht="12.75" customHeight="1">
      <c r="A8" s="10" t="s">
        <v>90</v>
      </c>
      <c r="B8" s="10" t="str">
        <f>EDT!C9</f>
        <v>Asignación de roles y responsabilidades</v>
      </c>
      <c r="C8" s="10" t="str">
        <f>IF(EDT!E9=0,"",EDT!E9)</f>
        <v>Katherine Rubilar</v>
      </c>
      <c r="D8" s="34">
        <f>EDT!F9</f>
        <v>1</v>
      </c>
      <c r="E8" s="34">
        <f>EDT!G9</f>
        <v>1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8" t="str">
        <f>IF(EDT!J9="","",EDT!J9)</f>
        <v>1.1.1</v>
      </c>
    </row>
    <row r="9" ht="12.75" customHeight="1">
      <c r="A9" s="10" t="s">
        <v>95</v>
      </c>
      <c r="B9" s="10" t="str">
        <f>EDT!C10</f>
        <v>Gestión de riesgos</v>
      </c>
      <c r="C9" s="10" t="str">
        <f>IF(EDT!E10=0,"",EDT!E10)</f>
        <v>Katherine Rubilar</v>
      </c>
      <c r="D9" s="34">
        <f>EDT!F10</f>
        <v>1</v>
      </c>
      <c r="E9" s="34">
        <f>EDT!G10</f>
        <v>18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8" t="str">
        <f>IF(EDT!J10="","",EDT!J10)</f>
        <v>1.1.1</v>
      </c>
    </row>
    <row r="10" ht="12.75" customHeight="1">
      <c r="A10" s="10" t="s">
        <v>99</v>
      </c>
      <c r="B10" s="10" t="str">
        <f>EDT!C11</f>
        <v>Seguimiento y control del avance</v>
      </c>
      <c r="C10" s="10" t="str">
        <f>IF(EDT!E11=0,"",EDT!E11)</f>
        <v>Katherine Rubilar</v>
      </c>
      <c r="D10" s="34">
        <f>EDT!F11</f>
        <v>2</v>
      </c>
      <c r="E10" s="34">
        <f>EDT!G11</f>
        <v>18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8" t="str">
        <f>IF(EDT!J11="","",EDT!J11)</f>
        <v>1.1.2</v>
      </c>
    </row>
    <row r="11" ht="12.75" customHeight="1">
      <c r="A11" s="23" t="s">
        <v>72</v>
      </c>
      <c r="B11" s="23" t="str">
        <f>EDT!C12</f>
        <v>Análisis y diseño</v>
      </c>
      <c r="C11" s="23"/>
      <c r="D11" s="26">
        <f>EDT!F12</f>
        <v>1</v>
      </c>
      <c r="E11" s="26">
        <f>EDT!G12</f>
        <v>2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8" t="str">
        <f>IF(EDT!J12="","",EDT!J12)</f>
        <v/>
      </c>
    </row>
    <row r="12" ht="12.75" customHeight="1">
      <c r="A12" s="10" t="s">
        <v>102</v>
      </c>
      <c r="B12" s="10" t="str">
        <f>EDT!C13</f>
        <v>Requerimientos e historias de usuario</v>
      </c>
      <c r="C12" s="10" t="str">
        <f>IF(EDT!E13=0,"",EDT!E13)</f>
        <v>Nicole Marchant, Katherine Rubilar</v>
      </c>
      <c r="D12" s="34">
        <f>EDT!F13</f>
        <v>1</v>
      </c>
      <c r="E12" s="34">
        <f>EDT!G13</f>
        <v>1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8" t="str">
        <f>IF(EDT!J13="","",EDT!J13)</f>
        <v>1.1.1</v>
      </c>
    </row>
    <row r="13" ht="12.75" customHeight="1">
      <c r="A13" s="10" t="s">
        <v>107</v>
      </c>
      <c r="B13" s="10" t="str">
        <f>EDT!C14</f>
        <v>Modelado de procesos (BPMN) y casos de uso</v>
      </c>
      <c r="C13" s="10" t="str">
        <f>IF(EDT!E14=0,"",EDT!E14)</f>
        <v>Josyan Bonnemaison</v>
      </c>
      <c r="D13" s="34">
        <f>EDT!F14</f>
        <v>1</v>
      </c>
      <c r="E13" s="34">
        <f>EDT!G14</f>
        <v>1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8" t="str">
        <f>IF(EDT!J14="","",EDT!J14)</f>
        <v>1.2.1</v>
      </c>
    </row>
    <row r="14" ht="12.75" customHeight="1">
      <c r="A14" s="10" t="s">
        <v>109</v>
      </c>
      <c r="B14" s="10" t="str">
        <f>EDT!C15</f>
        <v>Arquitectura del sistema</v>
      </c>
      <c r="C14" s="10" t="str">
        <f>IF(EDT!E15=0,"",EDT!E15)</f>
        <v>Nicole Marchant</v>
      </c>
      <c r="D14" s="34">
        <f>EDT!F15</f>
        <v>1</v>
      </c>
      <c r="E14" s="34">
        <f>EDT!G15</f>
        <v>1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8" t="str">
        <f>IF(EDT!J15="","",EDT!J15)</f>
        <v>1.2.1</v>
      </c>
    </row>
    <row r="15" ht="12.75" customHeight="1">
      <c r="A15" s="10" t="s">
        <v>111</v>
      </c>
      <c r="B15" s="10" t="str">
        <f>EDT!C16</f>
        <v>Modelo de datos operacional y analítico</v>
      </c>
      <c r="C15" s="10" t="str">
        <f>IF(EDT!E16=0,"",EDT!E16)</f>
        <v>Nicole Marchant</v>
      </c>
      <c r="D15" s="34">
        <f>EDT!F16</f>
        <v>2</v>
      </c>
      <c r="E15" s="34">
        <f>EDT!G16</f>
        <v>2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8" t="str">
        <f>IF(EDT!J16="","",EDT!J16)</f>
        <v>1.2.3</v>
      </c>
    </row>
    <row r="16" ht="12.75" customHeight="1">
      <c r="A16" s="10" t="s">
        <v>114</v>
      </c>
      <c r="B16" s="10" t="str">
        <f>EDT!C17</f>
        <v>Diseño UI/UX y mockups</v>
      </c>
      <c r="C16" s="10" t="str">
        <f>IF(EDT!E17=0,"",EDT!E17)</f>
        <v>Josyan Bonnemaison</v>
      </c>
      <c r="D16" s="34">
        <f>EDT!F17</f>
        <v>2</v>
      </c>
      <c r="E16" s="34">
        <f>EDT!G17</f>
        <v>2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8" t="str">
        <f>IF(EDT!J17="","",EDT!J17)</f>
        <v>1.2.1</v>
      </c>
    </row>
    <row r="17" ht="12.75" customHeight="1">
      <c r="A17" s="10" t="s">
        <v>116</v>
      </c>
      <c r="B17" s="10" t="str">
        <f>EDT!C18</f>
        <v>Contratos de API</v>
      </c>
      <c r="C17" s="10" t="str">
        <f>IF(EDT!E18=0,"",EDT!E18)</f>
        <v>Nicole Marchant</v>
      </c>
      <c r="D17" s="34">
        <f>EDT!F18</f>
        <v>2</v>
      </c>
      <c r="E17" s="34">
        <f>EDT!G18</f>
        <v>2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8" t="str">
        <f>IF(EDT!J18="","",EDT!J18)</f>
        <v>1.2.3, 1.2.4</v>
      </c>
    </row>
    <row r="18" ht="12.75" customHeight="1">
      <c r="A18" s="23" t="s">
        <v>76</v>
      </c>
      <c r="B18" s="23" t="str">
        <f>EDT!C19</f>
        <v>Desarrollo de la aplicación web</v>
      </c>
      <c r="C18" s="23"/>
      <c r="D18" s="26">
        <f>EDT!F19</f>
        <v>3</v>
      </c>
      <c r="E18" s="26">
        <f>EDT!G19</f>
        <v>7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8" t="str">
        <f>IF(EDT!J19="","",EDT!J19)</f>
        <v/>
      </c>
    </row>
    <row r="19" ht="12.75" customHeight="1">
      <c r="A19" s="10" t="s">
        <v>121</v>
      </c>
      <c r="B19" s="10" t="str">
        <f>EDT!C20</f>
        <v>Autenticación, usuarios y perfil lector</v>
      </c>
      <c r="C19" s="10" t="str">
        <f>IF(EDT!E20=0,"",EDT!E20)</f>
        <v>Josyan Bonnemaison, Nicole Marchant</v>
      </c>
      <c r="D19" s="34">
        <f>EDT!F20</f>
        <v>3</v>
      </c>
      <c r="E19" s="34">
        <f>EDT!G20</f>
        <v>3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8" t="str">
        <f>IF(EDT!J20="","",EDT!J20)</f>
        <v>1.2.3, 1.2.5, 1.2.6</v>
      </c>
    </row>
    <row r="20" ht="12.75" customHeight="1">
      <c r="A20" s="10" t="s">
        <v>126</v>
      </c>
      <c r="B20" s="10" t="str">
        <f>EDT!C21</f>
        <v>Catálogo y búsqueda de libros</v>
      </c>
      <c r="C20" s="10" t="str">
        <f>IF(EDT!E21=0,"",EDT!E21)</f>
        <v>Josyan Bonnemaison, Nicole Marchant</v>
      </c>
      <c r="D20" s="34">
        <f>EDT!F21</f>
        <v>4</v>
      </c>
      <c r="E20" s="34">
        <f>EDT!G21</f>
        <v>4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8" t="str">
        <f>IF(EDT!J21="","",EDT!J21)</f>
        <v>1.3.1</v>
      </c>
    </row>
    <row r="21" ht="12.75" customHeight="1">
      <c r="A21" s="10" t="s">
        <v>127</v>
      </c>
      <c r="B21" s="10" t="str">
        <f>EDT!C22</f>
        <v>Biblioteca personal y estados de lectura</v>
      </c>
      <c r="C21" s="10" t="str">
        <f>IF(EDT!E22=0,"",EDT!E22)</f>
        <v>Josyan Bonnemaison, Nicole Marchant</v>
      </c>
      <c r="D21" s="34">
        <f>EDT!F22</f>
        <v>5</v>
      </c>
      <c r="E21" s="34">
        <f>EDT!G22</f>
        <v>5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8" t="str">
        <f>IF(EDT!J22="","",EDT!J22)</f>
        <v>1.3.2</v>
      </c>
    </row>
    <row r="22" ht="12.75" customHeight="1">
      <c r="A22" s="10" t="s">
        <v>128</v>
      </c>
      <c r="B22" s="10" t="str">
        <f>EDT!C23</f>
        <v>Valoraciones, reseñas y emociones</v>
      </c>
      <c r="C22" s="10" t="str">
        <f>IF(EDT!E23=0,"",EDT!E23)</f>
        <v>Josyan Bonnemaison, Nicole Marchant</v>
      </c>
      <c r="D22" s="34">
        <f>EDT!F23</f>
        <v>6</v>
      </c>
      <c r="E22" s="34">
        <f>EDT!G23</f>
        <v>6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8" t="str">
        <f>IF(EDT!J23="","",EDT!J23)</f>
        <v>1.3.3</v>
      </c>
    </row>
    <row r="23" ht="12.75" customHeight="1">
      <c r="A23" s="10" t="s">
        <v>131</v>
      </c>
      <c r="B23" s="10" t="str">
        <f>EDT!C24</f>
        <v>Integración frontend-backend</v>
      </c>
      <c r="C23" s="10" t="str">
        <f>IF(EDT!E24=0,"",EDT!E24)</f>
        <v>Josyan Bonnemaison, Nicole Marchant, Katherine Rubilar</v>
      </c>
      <c r="D23" s="34">
        <f>EDT!F24</f>
        <v>7</v>
      </c>
      <c r="E23" s="34">
        <f>EDT!G24</f>
        <v>7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8" t="str">
        <f>IF(EDT!J24="","",EDT!J24)</f>
        <v>1.3.1, 1.3.2, 1.3.3, 1.3.4</v>
      </c>
    </row>
    <row r="24" ht="12.75" customHeight="1">
      <c r="A24" s="23" t="s">
        <v>132</v>
      </c>
      <c r="B24" s="23" t="str">
        <f>EDT!C25</f>
        <v>Ingeniería de datos (ETL)</v>
      </c>
      <c r="C24" s="23"/>
      <c r="D24" s="26">
        <f>EDT!F25</f>
        <v>8</v>
      </c>
      <c r="E24" s="26">
        <f>EDT!G25</f>
        <v>9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8" t="str">
        <f>IF(EDT!J25="","",EDT!J25)</f>
        <v/>
      </c>
    </row>
    <row r="25" ht="12.75" customHeight="1">
      <c r="A25" s="10" t="s">
        <v>133</v>
      </c>
      <c r="B25" s="10" t="str">
        <f>EDT!C26</f>
        <v>Extracción de datos operacionales</v>
      </c>
      <c r="C25" s="10" t="str">
        <f>IF(EDT!E26=0,"",EDT!E26)</f>
        <v>Nicole Marchant</v>
      </c>
      <c r="D25" s="34">
        <f>EDT!F26</f>
        <v>8</v>
      </c>
      <c r="E25" s="34">
        <f>EDT!G26</f>
        <v>8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8" t="str">
        <f>IF(EDT!J26="","",EDT!J26)</f>
        <v>1.3.5</v>
      </c>
    </row>
    <row r="26" ht="12.75" customHeight="1">
      <c r="A26" s="10" t="s">
        <v>136</v>
      </c>
      <c r="B26" s="10" t="str">
        <f>EDT!C27</f>
        <v>Limpieza y normalización</v>
      </c>
      <c r="C26" s="10" t="str">
        <f>IF(EDT!E27=0,"",EDT!E27)</f>
        <v>Nicole Marchant</v>
      </c>
      <c r="D26" s="34">
        <f>EDT!F27</f>
        <v>8</v>
      </c>
      <c r="E26" s="34">
        <f>EDT!G27</f>
        <v>8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8" t="str">
        <f>IF(EDT!J27="","",EDT!J27)</f>
        <v>1.4.1</v>
      </c>
    </row>
    <row r="27" ht="12.75" customHeight="1">
      <c r="A27" s="10" t="s">
        <v>137</v>
      </c>
      <c r="B27" s="10" t="str">
        <f>EDT!C28</f>
        <v>Transformación y carga en capa analítica</v>
      </c>
      <c r="C27" s="10" t="str">
        <f>IF(EDT!E28=0,"",EDT!E28)</f>
        <v>Nicole Marchant</v>
      </c>
      <c r="D27" s="34">
        <f>EDT!F28</f>
        <v>8</v>
      </c>
      <c r="E27" s="34">
        <f>EDT!G28</f>
        <v>8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8" t="str">
        <f>IF(EDT!J28="","",EDT!J28)</f>
        <v>1.4.2</v>
      </c>
    </row>
    <row r="28" ht="12.75" customHeight="1">
      <c r="A28" s="10" t="s">
        <v>139</v>
      </c>
      <c r="B28" s="10" t="str">
        <f>EDT!C29</f>
        <v>Generación de variables analíticas</v>
      </c>
      <c r="C28" s="10" t="str">
        <f>IF(EDT!E29=0,"",EDT!E29)</f>
        <v>Nicole Marchant</v>
      </c>
      <c r="D28" s="34">
        <f>EDT!F29</f>
        <v>9</v>
      </c>
      <c r="E28" s="34">
        <f>EDT!G29</f>
        <v>9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8" t="str">
        <f>IF(EDT!J29="","",EDT!J29)</f>
        <v>1.4.3</v>
      </c>
    </row>
    <row r="29" ht="12.75" customHeight="1">
      <c r="A29" s="23" t="s">
        <v>141</v>
      </c>
      <c r="B29" s="23" t="str">
        <f>EDT!C30</f>
        <v>Inteligencia artificial</v>
      </c>
      <c r="C29" s="23"/>
      <c r="D29" s="26">
        <f>EDT!F30</f>
        <v>10</v>
      </c>
      <c r="E29" s="26">
        <f>EDT!G30</f>
        <v>11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8" t="str">
        <f>IF(EDT!J30="","",EDT!J30)</f>
        <v/>
      </c>
    </row>
    <row r="30" ht="12.75" customHeight="1">
      <c r="A30" s="10" t="s">
        <v>143</v>
      </c>
      <c r="B30" s="10" t="str">
        <f>EDT!C31</f>
        <v>Diseño del prompt y restricciones éticas</v>
      </c>
      <c r="C30" s="10" t="str">
        <f>IF(EDT!E31=0,"",EDT!E31)</f>
        <v>Nicole Marchant</v>
      </c>
      <c r="D30" s="34">
        <f>EDT!F31</f>
        <v>10</v>
      </c>
      <c r="E30" s="34">
        <f>EDT!G31</f>
        <v>10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8" t="str">
        <f>IF(EDT!J31="","",EDT!J31)</f>
        <v>1.4.4</v>
      </c>
    </row>
    <row r="31" ht="12.75" customHeight="1">
      <c r="A31" s="10" t="s">
        <v>148</v>
      </c>
      <c r="B31" s="10" t="str">
        <f>EDT!C32</f>
        <v>Servicio de integración con el modelo de lenguaje (Ollama)</v>
      </c>
      <c r="C31" s="10" t="str">
        <f>IF(EDT!E32=0,"",EDT!E32)</f>
        <v>Nicole Marchant</v>
      </c>
      <c r="D31" s="34">
        <f>EDT!F32</f>
        <v>10</v>
      </c>
      <c r="E31" s="34">
        <f>EDT!G32</f>
        <v>10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8" t="str">
        <f>IF(EDT!J32="","",EDT!J32)</f>
        <v>1.5.1, 1.4.4</v>
      </c>
    </row>
    <row r="32" ht="12.75" customHeight="1">
      <c r="A32" s="10" t="s">
        <v>149</v>
      </c>
      <c r="B32" s="10" t="str">
        <f>EDT!C33</f>
        <v>Análisis de perfil lector y recepción de obra</v>
      </c>
      <c r="C32" s="10" t="str">
        <f>IF(EDT!E33=0,"",EDT!E33)</f>
        <v>Nicole Marchant</v>
      </c>
      <c r="D32" s="34">
        <f>EDT!F33</f>
        <v>11</v>
      </c>
      <c r="E32" s="34">
        <f>EDT!G33</f>
        <v>11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8" t="str">
        <f>IF(EDT!J33="","",EDT!J33)</f>
        <v>1.5.2</v>
      </c>
    </row>
    <row r="33" ht="12.75" customHeight="1">
      <c r="A33" s="10" t="s">
        <v>150</v>
      </c>
      <c r="B33" s="10" t="str">
        <f>EDT!C34</f>
        <v>Visualización de resultados</v>
      </c>
      <c r="C33" s="10" t="str">
        <f>IF(EDT!E34=0,"",EDT!E34)</f>
        <v>Josyan Bonnemaison, Katherine Rubilar</v>
      </c>
      <c r="D33" s="34">
        <f>EDT!F34</f>
        <v>11</v>
      </c>
      <c r="E33" s="34">
        <f>EDT!G34</f>
        <v>11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8" t="str">
        <f>IF(EDT!J34="","",EDT!J34)</f>
        <v>1.5.3</v>
      </c>
    </row>
    <row r="34" ht="12.75" customHeight="1">
      <c r="A34" s="23" t="s">
        <v>151</v>
      </c>
      <c r="B34" s="23" t="str">
        <f>EDT!C35</f>
        <v>Calidad y cierre</v>
      </c>
      <c r="C34" s="23"/>
      <c r="D34" s="26">
        <f>EDT!F35</f>
        <v>2</v>
      </c>
      <c r="E34" s="26">
        <f>EDT!G35</f>
        <v>18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8" t="str">
        <f>IF(EDT!J35="","",EDT!J35)</f>
        <v/>
      </c>
    </row>
    <row r="35" ht="12.75" customHeight="1">
      <c r="A35" s="10" t="s">
        <v>152</v>
      </c>
      <c r="B35" s="10" t="str">
        <f>EDT!C36</f>
        <v>Pruebas unitarias y de API</v>
      </c>
      <c r="C35" s="10" t="str">
        <f>IF(EDT!E36=0,"",EDT!E36)</f>
        <v>Nicole Marchant, Katherine Rubilar</v>
      </c>
      <c r="D35" s="34">
        <f>EDT!F36</f>
        <v>3</v>
      </c>
      <c r="E35" s="34">
        <f>EDT!G36</f>
        <v>11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8" t="str">
        <f>IF(EDT!J36="","",EDT!J36)</f>
        <v>1.2.6</v>
      </c>
    </row>
    <row r="36" ht="12.75" customHeight="1">
      <c r="A36" s="10" t="s">
        <v>157</v>
      </c>
      <c r="B36" s="10" t="str">
        <f>EDT!C37</f>
        <v>Pruebas funcionales e integrales</v>
      </c>
      <c r="C36" s="10" t="str">
        <f>IF(EDT!E37=0,"",EDT!E37)</f>
        <v>Josyan Bonnemaison, Nicole Marchant, Katherine Rubilar</v>
      </c>
      <c r="D36" s="34">
        <f>EDT!F37</f>
        <v>12</v>
      </c>
      <c r="E36" s="34">
        <f>EDT!G37</f>
        <v>12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8" t="str">
        <f>IF(EDT!J37="","",EDT!J37)</f>
        <v>1.5.4</v>
      </c>
    </row>
    <row r="37" ht="12.75" customHeight="1">
      <c r="A37" s="10" t="s">
        <v>158</v>
      </c>
      <c r="B37" s="10" t="str">
        <f>EDT!C38</f>
        <v>Seguridad y protección de datos</v>
      </c>
      <c r="C37" s="10" t="str">
        <f>IF(EDT!E38=0,"",EDT!E38)</f>
        <v>Nicole Marchant, Katherine Rubilar</v>
      </c>
      <c r="D37" s="34">
        <f>EDT!F38</f>
        <v>2</v>
      </c>
      <c r="E37" s="34">
        <f>EDT!G38</f>
        <v>12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8" t="str">
        <f>IF(EDT!J38="","",EDT!J38)</f>
        <v>1.2.3</v>
      </c>
    </row>
    <row r="38" ht="12.75" customHeight="1">
      <c r="A38" s="10" t="s">
        <v>161</v>
      </c>
      <c r="B38" s="10" t="str">
        <f>EDT!C39</f>
        <v>Documentación técnica</v>
      </c>
      <c r="C38" s="10" t="str">
        <f>IF(EDT!E39=0,"",EDT!E39)</f>
        <v>Nicole Marchant, Katherine Rubilar</v>
      </c>
      <c r="D38" s="34">
        <f>EDT!F39</f>
        <v>12</v>
      </c>
      <c r="E38" s="34">
        <f>EDT!G39</f>
        <v>12</v>
      </c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8" t="str">
        <f>IF(EDT!J39="","",EDT!J39)</f>
        <v>1.5.4</v>
      </c>
    </row>
    <row r="39" ht="12.75" customHeight="1">
      <c r="A39" s="10" t="s">
        <v>162</v>
      </c>
      <c r="B39" s="10" t="str">
        <f>EDT!C40</f>
        <v>Ajustes críticos y consolidación de evidencias</v>
      </c>
      <c r="C39" s="10" t="str">
        <f>IF(EDT!E40=0,"",EDT!E40)</f>
        <v>Josyan Bonnemaison, Nicole Marchant</v>
      </c>
      <c r="D39" s="34">
        <f>EDT!F40</f>
        <v>13</v>
      </c>
      <c r="E39" s="34">
        <f>EDT!G40</f>
        <v>15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8" t="str">
        <f>IF(EDT!J40="","",EDT!J40)</f>
        <v>1.6.2, 1.6.3, 1.6.4</v>
      </c>
    </row>
    <row r="40" ht="12.75" customHeight="1">
      <c r="A40" s="10" t="s">
        <v>165</v>
      </c>
      <c r="B40" s="10" t="str">
        <f>EDT!C41</f>
        <v>Informe y presentación final</v>
      </c>
      <c r="C40" s="10" t="str">
        <f>IF(EDT!E41=0,"",EDT!E41)</f>
        <v>Josyan Bonnemaison, Nicole Marchant, Katherine Rubilar</v>
      </c>
      <c r="D40" s="34">
        <f>EDT!F41</f>
        <v>16</v>
      </c>
      <c r="E40" s="34">
        <f>EDT!G41</f>
        <v>18</v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8" t="str">
        <f>IF(EDT!J41="","",EDT!J41)</f>
        <v>1.6.5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F3:K3"/>
    <mergeCell ref="L3:Q3"/>
    <mergeCell ref="R3:W3"/>
  </mergeCells>
  <conditionalFormatting sqref="F5:W5">
    <cfRule type="expression" dxfId="5" priority="1">
      <formula>AND(F$4&gt;=$D5,F$4&lt;=$E5)</formula>
    </cfRule>
  </conditionalFormatting>
  <conditionalFormatting sqref="F6:W10">
    <cfRule type="expression" dxfId="6" priority="2">
      <formula>AND(F$4&gt;=$D6,F$4&lt;=$E6)</formula>
    </cfRule>
  </conditionalFormatting>
  <conditionalFormatting sqref="F11:W11">
    <cfRule type="expression" dxfId="5" priority="3">
      <formula>AND(F$4&gt;=$D11,F$4&lt;=$E11)</formula>
    </cfRule>
  </conditionalFormatting>
  <conditionalFormatting sqref="F12:W17">
    <cfRule type="expression" dxfId="6" priority="4">
      <formula>AND(F$4&gt;=$D12,F$4&lt;=$E12)</formula>
    </cfRule>
  </conditionalFormatting>
  <conditionalFormatting sqref="F18:W18">
    <cfRule type="expression" dxfId="5" priority="5">
      <formula>AND(F$4&gt;=$D18,F$4&lt;=$E18)</formula>
    </cfRule>
  </conditionalFormatting>
  <conditionalFormatting sqref="F19:W23">
    <cfRule type="expression" dxfId="6" priority="6">
      <formula>AND(F$4&gt;=$D19,F$4&lt;=$E19)</formula>
    </cfRule>
  </conditionalFormatting>
  <conditionalFormatting sqref="F24:W24">
    <cfRule type="expression" dxfId="5" priority="7">
      <formula>AND(F$4&gt;=$D24,F$4&lt;=$E24)</formula>
    </cfRule>
  </conditionalFormatting>
  <conditionalFormatting sqref="F25:W28">
    <cfRule type="expression" dxfId="6" priority="8">
      <formula>AND(F$4&gt;=$D25,F$4&lt;=$E25)</formula>
    </cfRule>
  </conditionalFormatting>
  <conditionalFormatting sqref="F29:W29">
    <cfRule type="expression" dxfId="5" priority="9">
      <formula>AND(F$4&gt;=$D29,F$4&lt;=$E29)</formula>
    </cfRule>
  </conditionalFormatting>
  <conditionalFormatting sqref="F30:W33">
    <cfRule type="expression" dxfId="6" priority="10">
      <formula>AND(F$4&gt;=$D30,F$4&lt;=$E30)</formula>
    </cfRule>
  </conditionalFormatting>
  <conditionalFormatting sqref="F34:W34">
    <cfRule type="expression" dxfId="5" priority="11">
      <formula>AND(F$4&gt;=$D34,F$4&lt;=$E34)</formula>
    </cfRule>
  </conditionalFormatting>
  <conditionalFormatting sqref="F35:W40">
    <cfRule type="expression" dxfId="6" priority="12">
      <formula>AND(F$4&gt;=$D35,F$4&lt;=$E35)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3" width="80.0"/>
    <col customWidth="1" min="4" max="26" width="8.75"/>
  </cols>
  <sheetData>
    <row r="1" ht="18.0" customHeight="1">
      <c r="A1" s="1" t="s">
        <v>191</v>
      </c>
    </row>
    <row r="2" ht="12.75" customHeight="1">
      <c r="A2" s="2" t="s">
        <v>192</v>
      </c>
    </row>
    <row r="3" ht="12.75" customHeight="1"/>
    <row r="4" ht="12.75" customHeight="1">
      <c r="A4" s="5" t="s">
        <v>12</v>
      </c>
      <c r="B4" s="5" t="s">
        <v>193</v>
      </c>
      <c r="C4" s="5" t="s">
        <v>194</v>
      </c>
    </row>
    <row r="5" ht="12.75" customHeight="1">
      <c r="A5" s="34">
        <v>5.0</v>
      </c>
      <c r="B5" s="10" t="s">
        <v>195</v>
      </c>
      <c r="C5" s="10" t="s">
        <v>196</v>
      </c>
    </row>
    <row r="6" ht="12.75" customHeight="1">
      <c r="A6" s="34">
        <v>4.0</v>
      </c>
      <c r="B6" s="10" t="s">
        <v>197</v>
      </c>
      <c r="C6" s="10" t="s">
        <v>198</v>
      </c>
    </row>
    <row r="7" ht="12.75" customHeight="1">
      <c r="A7" s="34">
        <v>3.0</v>
      </c>
      <c r="B7" s="10" t="s">
        <v>199</v>
      </c>
      <c r="C7" s="10" t="s">
        <v>200</v>
      </c>
    </row>
    <row r="8" ht="12.75" customHeight="1">
      <c r="A8" s="34">
        <v>2.0</v>
      </c>
      <c r="B8" s="10" t="s">
        <v>201</v>
      </c>
      <c r="C8" s="10" t="s">
        <v>202</v>
      </c>
    </row>
    <row r="9" ht="12.75" customHeight="1">
      <c r="A9" s="34">
        <v>1.0</v>
      </c>
      <c r="B9" s="10" t="s">
        <v>203</v>
      </c>
      <c r="C9" s="10" t="s">
        <v>204</v>
      </c>
    </row>
    <row r="10" ht="12.75" customHeight="1"/>
    <row r="11" ht="12.75" customHeight="1">
      <c r="A11" s="5" t="s">
        <v>12</v>
      </c>
      <c r="B11" s="5" t="s">
        <v>205</v>
      </c>
      <c r="C11" s="5" t="s">
        <v>206</v>
      </c>
    </row>
    <row r="12" ht="12.75" customHeight="1">
      <c r="A12" s="34">
        <v>5.0</v>
      </c>
      <c r="B12" s="10" t="s">
        <v>207</v>
      </c>
      <c r="C12" s="10" t="s">
        <v>208</v>
      </c>
    </row>
    <row r="13" ht="12.75" customHeight="1">
      <c r="A13" s="34">
        <v>4.0</v>
      </c>
      <c r="B13" s="10" t="s">
        <v>209</v>
      </c>
      <c r="C13" s="10" t="s">
        <v>210</v>
      </c>
    </row>
    <row r="14" ht="12.75" customHeight="1">
      <c r="A14" s="34">
        <v>3.0</v>
      </c>
      <c r="B14" s="10" t="s">
        <v>211</v>
      </c>
      <c r="C14" s="10" t="s">
        <v>212</v>
      </c>
    </row>
    <row r="15" ht="12.75" customHeight="1">
      <c r="A15" s="34">
        <v>2.0</v>
      </c>
      <c r="B15" s="10" t="s">
        <v>213</v>
      </c>
      <c r="C15" s="10" t="s">
        <v>214</v>
      </c>
    </row>
    <row r="16" ht="12.75" customHeight="1">
      <c r="A16" s="34">
        <v>1.0</v>
      </c>
      <c r="B16" s="10" t="s">
        <v>215</v>
      </c>
      <c r="C16" s="10" t="s">
        <v>216</v>
      </c>
    </row>
    <row r="17" ht="12.75" customHeight="1"/>
    <row r="18" ht="25.5" customHeight="1">
      <c r="A18" s="5" t="s">
        <v>217</v>
      </c>
      <c r="B18" s="5" t="s">
        <v>218</v>
      </c>
      <c r="C18" s="5" t="s">
        <v>219</v>
      </c>
    </row>
    <row r="19" ht="12.75" customHeight="1">
      <c r="A19" s="47">
        <v>15.0</v>
      </c>
      <c r="B19" s="48" t="s">
        <v>222</v>
      </c>
      <c r="C19" s="10" t="s">
        <v>223</v>
      </c>
    </row>
    <row r="20" ht="12.75" customHeight="1">
      <c r="A20" s="47">
        <v>10.0</v>
      </c>
      <c r="B20" s="49" t="s">
        <v>197</v>
      </c>
      <c r="C20" s="10" t="s">
        <v>224</v>
      </c>
    </row>
    <row r="21" ht="12.75" customHeight="1">
      <c r="A21" s="47">
        <v>5.0</v>
      </c>
      <c r="B21" s="50" t="s">
        <v>199</v>
      </c>
      <c r="C21" s="10" t="s">
        <v>225</v>
      </c>
    </row>
    <row r="22" ht="12.75" customHeight="1">
      <c r="A22" s="47">
        <v>1.0</v>
      </c>
      <c r="B22" s="51" t="s">
        <v>201</v>
      </c>
      <c r="C22" s="10" t="s">
        <v>226</v>
      </c>
    </row>
    <row r="23" ht="12.75" customHeight="1"/>
    <row r="24" ht="12.75" customHeight="1">
      <c r="A24" s="5" t="s">
        <v>227</v>
      </c>
      <c r="B24" s="5" t="s">
        <v>228</v>
      </c>
      <c r="C24" s="5" t="s">
        <v>229</v>
      </c>
    </row>
    <row r="25" ht="12.75" customHeight="1">
      <c r="A25" s="52" t="s">
        <v>230</v>
      </c>
      <c r="B25" s="10" t="s">
        <v>231</v>
      </c>
      <c r="C25" s="10" t="s">
        <v>232</v>
      </c>
    </row>
    <row r="26" ht="12.75" customHeight="1">
      <c r="A26" s="52" t="s">
        <v>233</v>
      </c>
      <c r="B26" s="10" t="s">
        <v>231</v>
      </c>
      <c r="C26" s="10" t="s">
        <v>234</v>
      </c>
    </row>
    <row r="27" ht="12.75" customHeight="1">
      <c r="A27" s="52" t="s">
        <v>235</v>
      </c>
      <c r="B27" s="10" t="s">
        <v>231</v>
      </c>
      <c r="C27" s="10" t="s">
        <v>236</v>
      </c>
    </row>
    <row r="28" ht="12.75" customHeight="1">
      <c r="A28" s="52" t="s">
        <v>238</v>
      </c>
      <c r="B28" s="10" t="s">
        <v>231</v>
      </c>
      <c r="C28" s="10" t="s">
        <v>240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26.0"/>
    <col customWidth="1" min="4" max="4" width="42.0"/>
    <col customWidth="1" min="5" max="6" width="16.0"/>
    <col customWidth="1" min="7" max="7" width="9.0"/>
    <col customWidth="1" min="8" max="8" width="11.0"/>
    <col customWidth="1" min="9" max="9" width="10.0"/>
    <col customWidth="1" min="10" max="10" width="12.0"/>
    <col customWidth="1" min="11" max="11" width="11.0"/>
    <col customWidth="1" min="12" max="12" width="52.0"/>
    <col customWidth="1" min="13" max="13" width="32.0"/>
    <col customWidth="1" min="14" max="14" width="20.0"/>
    <col customWidth="1" min="15" max="15" width="11.0"/>
    <col customWidth="1" min="16" max="16" width="13.0"/>
    <col customWidth="1" min="17" max="17" width="18.0"/>
    <col customWidth="1" min="18" max="18" width="21.63"/>
    <col customWidth="1" min="19" max="19" width="16.0"/>
    <col customWidth="1" min="20" max="26" width="8.75"/>
  </cols>
  <sheetData>
    <row r="1" ht="18.0" customHeight="1">
      <c r="A1" s="53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ht="12.75" customHeight="1">
      <c r="A2" s="54" t="s">
        <v>241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ht="12.7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ht="30.0" customHeight="1">
      <c r="A4" s="55" t="s">
        <v>242</v>
      </c>
      <c r="B4" s="55" t="s">
        <v>80</v>
      </c>
      <c r="C4" s="55" t="s">
        <v>243</v>
      </c>
      <c r="D4" s="55" t="s">
        <v>244</v>
      </c>
      <c r="E4" s="55" t="s">
        <v>245</v>
      </c>
      <c r="F4" s="55" t="s">
        <v>246</v>
      </c>
      <c r="G4" s="55" t="s">
        <v>247</v>
      </c>
      <c r="H4" s="55" t="s">
        <v>248</v>
      </c>
      <c r="I4" s="55" t="s">
        <v>249</v>
      </c>
      <c r="J4" s="55" t="s">
        <v>218</v>
      </c>
      <c r="K4" s="55" t="s">
        <v>227</v>
      </c>
      <c r="L4" s="55" t="s">
        <v>250</v>
      </c>
      <c r="M4" s="55" t="s">
        <v>251</v>
      </c>
      <c r="N4" s="55" t="s">
        <v>65</v>
      </c>
      <c r="O4" s="55" t="s">
        <v>252</v>
      </c>
      <c r="P4" s="55" t="s">
        <v>253</v>
      </c>
      <c r="Q4" s="56" t="s">
        <v>255</v>
      </c>
      <c r="R4" s="57" t="s">
        <v>258</v>
      </c>
      <c r="S4" s="25"/>
    </row>
    <row r="5" ht="75.0" customHeight="1">
      <c r="A5" s="58" t="s">
        <v>259</v>
      </c>
      <c r="B5" s="14" t="s">
        <v>102</v>
      </c>
      <c r="C5" s="7" t="str">
        <f t="array" ref="C5">IFERROR(INDEX(EDT!$C:$C,MATCH(B5,EDT!$A:$A,0)),"Código no existe")</f>
        <v>Requerimientos e historias de usuario</v>
      </c>
      <c r="D5" s="7" t="s">
        <v>260</v>
      </c>
      <c r="E5" s="7" t="s">
        <v>261</v>
      </c>
      <c r="F5" s="7" t="s">
        <v>262</v>
      </c>
      <c r="G5" s="14">
        <v>4.0</v>
      </c>
      <c r="H5" s="14">
        <v>3.0</v>
      </c>
      <c r="I5" s="58">
        <f t="shared" ref="I5:I20" si="1">IF(OR(G5="",H5=""),"",G5*H5)</f>
        <v>12</v>
      </c>
      <c r="J5" s="58" t="str">
        <f>IF(I5="","",IF(I5&gt;='Criterios de riesgo'!$A$19,'Criterios de riesgo'!$B$19,IF(I5&gt;='Criterios de riesgo'!$A$20,'Criterios de riesgo'!$B$20,IF(I5&gt;='Criterios de riesgo'!$A$21,'Criterios de riesgo'!$B$21,'Criterios de riesgo'!$B$22))))</f>
        <v>Alta</v>
      </c>
      <c r="K5" s="14" t="s">
        <v>233</v>
      </c>
      <c r="L5" s="7" t="s">
        <v>263</v>
      </c>
      <c r="M5" s="7" t="s">
        <v>264</v>
      </c>
      <c r="N5" s="7" t="s">
        <v>42</v>
      </c>
      <c r="O5" s="14" t="s">
        <v>110</v>
      </c>
      <c r="P5" s="14" t="s">
        <v>265</v>
      </c>
      <c r="Q5" s="59"/>
      <c r="R5" s="59"/>
    </row>
    <row r="6" ht="60.0" customHeight="1">
      <c r="A6" s="58" t="s">
        <v>269</v>
      </c>
      <c r="B6" s="14" t="s">
        <v>111</v>
      </c>
      <c r="C6" s="7" t="str">
        <f t="array" ref="C6">IFERROR(INDEX(EDT!$C:$C,MATCH(B6,EDT!$A:$A,0)),"Código no existe")</f>
        <v>Modelo de datos operacional y analítico</v>
      </c>
      <c r="D6" s="7" t="s">
        <v>277</v>
      </c>
      <c r="E6" s="7" t="s">
        <v>261</v>
      </c>
      <c r="F6" s="7" t="s">
        <v>278</v>
      </c>
      <c r="G6" s="14">
        <v>4.0</v>
      </c>
      <c r="H6" s="14">
        <v>3.0</v>
      </c>
      <c r="I6" s="58">
        <f t="shared" si="1"/>
        <v>12</v>
      </c>
      <c r="J6" s="58" t="str">
        <f>IF(I6="","",IF(I6&gt;='Criterios de riesgo'!$A$19,'Criterios de riesgo'!$B$19,IF(I6&gt;='Criterios de riesgo'!$A$20,'Criterios de riesgo'!$B$20,IF(I6&gt;='Criterios de riesgo'!$A$21,'Criterios de riesgo'!$B$21,'Criterios de riesgo'!$B$22))))</f>
        <v>Alta</v>
      </c>
      <c r="K6" s="14" t="s">
        <v>233</v>
      </c>
      <c r="L6" s="7" t="s">
        <v>279</v>
      </c>
      <c r="M6" s="7" t="s">
        <v>280</v>
      </c>
      <c r="N6" s="7" t="s">
        <v>42</v>
      </c>
      <c r="O6" s="14" t="s">
        <v>110</v>
      </c>
      <c r="P6" s="14" t="s">
        <v>265</v>
      </c>
      <c r="Q6" s="59"/>
      <c r="R6" s="59"/>
    </row>
    <row r="7" ht="60.0" customHeight="1">
      <c r="A7" s="58" t="s">
        <v>281</v>
      </c>
      <c r="B7" s="14" t="s">
        <v>131</v>
      </c>
      <c r="C7" s="7" t="str">
        <f t="array" ref="C7">IFERROR(INDEX(EDT!$C:$C,MATCH(B7,EDT!$A:$A,0)),"Código no existe")</f>
        <v>Integración frontend-backend</v>
      </c>
      <c r="D7" s="7" t="s">
        <v>282</v>
      </c>
      <c r="E7" s="7" t="s">
        <v>261</v>
      </c>
      <c r="F7" s="7" t="s">
        <v>283</v>
      </c>
      <c r="G7" s="14">
        <v>4.0</v>
      </c>
      <c r="H7" s="14">
        <v>3.0</v>
      </c>
      <c r="I7" s="58">
        <f t="shared" si="1"/>
        <v>12</v>
      </c>
      <c r="J7" s="58" t="str">
        <f>IF(I7="","",IF(I7&gt;='Criterios de riesgo'!$A$19,'Criterios de riesgo'!$B$19,IF(I7&gt;='Criterios de riesgo'!$A$20,'Criterios de riesgo'!$B$20,IF(I7&gt;='Criterios de riesgo'!$A$21,'Criterios de riesgo'!$B$21,'Criterios de riesgo'!$B$22))))</f>
        <v>Alta</v>
      </c>
      <c r="K7" s="14" t="s">
        <v>233</v>
      </c>
      <c r="L7" s="7" t="s">
        <v>284</v>
      </c>
      <c r="M7" s="7" t="s">
        <v>285</v>
      </c>
      <c r="N7" s="7" t="s">
        <v>20</v>
      </c>
      <c r="O7" s="14" t="s">
        <v>115</v>
      </c>
      <c r="P7" s="14" t="s">
        <v>265</v>
      </c>
      <c r="Q7" s="59"/>
      <c r="R7" s="59"/>
    </row>
    <row r="8" ht="60.0" customHeight="1">
      <c r="A8" s="58" t="s">
        <v>286</v>
      </c>
      <c r="B8" s="14" t="s">
        <v>136</v>
      </c>
      <c r="C8" s="7" t="str">
        <f t="array" ref="C8">IFERROR(INDEX(EDT!$C:$C,MATCH(B8,EDT!$A:$A,0)),"Código no existe")</f>
        <v>Limpieza y normalización</v>
      </c>
      <c r="D8" s="7" t="s">
        <v>287</v>
      </c>
      <c r="E8" s="7" t="s">
        <v>261</v>
      </c>
      <c r="F8" s="7" t="s">
        <v>288</v>
      </c>
      <c r="G8" s="14">
        <v>4.0</v>
      </c>
      <c r="H8" s="14">
        <v>3.0</v>
      </c>
      <c r="I8" s="58">
        <f t="shared" si="1"/>
        <v>12</v>
      </c>
      <c r="J8" s="58" t="str">
        <f>IF(I8="","",IF(I8&gt;='Criterios de riesgo'!$A$19,'Criterios de riesgo'!$B$19,IF(I8&gt;='Criterios de riesgo'!$A$20,'Criterios de riesgo'!$B$20,IF(I8&gt;='Criterios de riesgo'!$A$21,'Criterios de riesgo'!$B$21,'Criterios de riesgo'!$B$22))))</f>
        <v>Alta</v>
      </c>
      <c r="K8" s="14" t="s">
        <v>233</v>
      </c>
      <c r="L8" s="7" t="s">
        <v>289</v>
      </c>
      <c r="M8" s="7" t="s">
        <v>290</v>
      </c>
      <c r="N8" s="7" t="s">
        <v>42</v>
      </c>
      <c r="O8" s="14" t="s">
        <v>115</v>
      </c>
      <c r="P8" s="14" t="s">
        <v>265</v>
      </c>
      <c r="Q8" s="59"/>
      <c r="R8" s="59"/>
    </row>
    <row r="9" ht="90.0" customHeight="1">
      <c r="A9" s="58" t="s">
        <v>291</v>
      </c>
      <c r="B9" s="14" t="s">
        <v>143</v>
      </c>
      <c r="C9" s="7" t="str">
        <f t="array" ref="C9">IFERROR(INDEX(EDT!$C:$C,MATCH(B9,EDT!$A:$A,0)),"Código no existe")</f>
        <v>Diseño del prompt y restricciones éticas</v>
      </c>
      <c r="D9" s="7" t="s">
        <v>294</v>
      </c>
      <c r="E9" s="7" t="s">
        <v>261</v>
      </c>
      <c r="F9" s="7" t="s">
        <v>295</v>
      </c>
      <c r="G9" s="14">
        <v>5.0</v>
      </c>
      <c r="H9" s="14">
        <v>3.0</v>
      </c>
      <c r="I9" s="58">
        <f t="shared" si="1"/>
        <v>15</v>
      </c>
      <c r="J9" s="58" t="str">
        <f>IF(I9="","",IF(I9&gt;='Criterios de riesgo'!$A$19,'Criterios de riesgo'!$B$19,IF(I9&gt;='Criterios de riesgo'!$A$20,'Criterios de riesgo'!$B$20,IF(I9&gt;='Criterios de riesgo'!$A$21,'Criterios de riesgo'!$B$21,'Criterios de riesgo'!$B$22))))</f>
        <v>Extrema</v>
      </c>
      <c r="K9" s="14" t="s">
        <v>233</v>
      </c>
      <c r="L9" s="7" t="s">
        <v>303</v>
      </c>
      <c r="M9" s="7" t="s">
        <v>304</v>
      </c>
      <c r="N9" s="7" t="s">
        <v>59</v>
      </c>
      <c r="O9" s="14" t="s">
        <v>115</v>
      </c>
      <c r="P9" s="14" t="s">
        <v>265</v>
      </c>
      <c r="Q9" s="59"/>
      <c r="R9" s="59"/>
    </row>
    <row r="10" ht="60.0" customHeight="1">
      <c r="A10" s="58" t="s">
        <v>305</v>
      </c>
      <c r="B10" s="14" t="s">
        <v>149</v>
      </c>
      <c r="C10" s="7" t="str">
        <f t="array" ref="C10">IFERROR(INDEX(EDT!$C:$C,MATCH(B10,EDT!$A:$A,0)),"Código no existe")</f>
        <v>Análisis de perfil lector y recepción de obra</v>
      </c>
      <c r="D10" s="7" t="s">
        <v>307</v>
      </c>
      <c r="E10" s="7" t="s">
        <v>261</v>
      </c>
      <c r="F10" s="7" t="s">
        <v>308</v>
      </c>
      <c r="G10" s="14">
        <v>3.0</v>
      </c>
      <c r="H10" s="14">
        <v>3.0</v>
      </c>
      <c r="I10" s="58">
        <f t="shared" si="1"/>
        <v>9</v>
      </c>
      <c r="J10" s="58" t="str">
        <f>IF(I10="","",IF(I10&gt;='Criterios de riesgo'!$A$19,'Criterios de riesgo'!$B$19,IF(I10&gt;='Criterios de riesgo'!$A$20,'Criterios de riesgo'!$B$20,IF(I10&gt;='Criterios de riesgo'!$A$21,'Criterios de riesgo'!$B$21,'Criterios de riesgo'!$B$22))))</f>
        <v>Media</v>
      </c>
      <c r="K10" s="14" t="s">
        <v>233</v>
      </c>
      <c r="L10" s="7" t="s">
        <v>311</v>
      </c>
      <c r="M10" s="7" t="s">
        <v>312</v>
      </c>
      <c r="N10" s="7" t="s">
        <v>42</v>
      </c>
      <c r="O10" s="14" t="s">
        <v>115</v>
      </c>
      <c r="P10" s="14" t="s">
        <v>265</v>
      </c>
      <c r="Q10" s="59"/>
      <c r="R10" s="59"/>
    </row>
    <row r="11" ht="45.0" customHeight="1">
      <c r="A11" s="58" t="s">
        <v>313</v>
      </c>
      <c r="B11" s="14" t="s">
        <v>152</v>
      </c>
      <c r="C11" s="7" t="str">
        <f t="array" ref="C11">IFERROR(INDEX(EDT!$C:$C,MATCH(B11,EDT!$A:$A,0)),"Código no existe")</f>
        <v>Pruebas unitarias y de API</v>
      </c>
      <c r="D11" s="7" t="s">
        <v>314</v>
      </c>
      <c r="E11" s="7" t="s">
        <v>261</v>
      </c>
      <c r="F11" s="7" t="s">
        <v>295</v>
      </c>
      <c r="G11" s="14">
        <v>3.0</v>
      </c>
      <c r="H11" s="14">
        <v>2.0</v>
      </c>
      <c r="I11" s="58">
        <f t="shared" si="1"/>
        <v>6</v>
      </c>
      <c r="J11" s="58" t="str">
        <f>IF(I11="","",IF(I11&gt;='Criterios de riesgo'!$A$19,'Criterios de riesgo'!$B$19,IF(I11&gt;='Criterios de riesgo'!$A$20,'Criterios de riesgo'!$B$20,IF(I11&gt;='Criterios de riesgo'!$A$21,'Criterios de riesgo'!$B$21,'Criterios de riesgo'!$B$22))))</f>
        <v>Media</v>
      </c>
      <c r="K11" s="14" t="s">
        <v>230</v>
      </c>
      <c r="L11" s="7" t="s">
        <v>316</v>
      </c>
      <c r="M11" s="7" t="s">
        <v>317</v>
      </c>
      <c r="N11" s="7" t="s">
        <v>42</v>
      </c>
      <c r="O11" s="14" t="s">
        <v>318</v>
      </c>
      <c r="P11" s="14" t="s">
        <v>265</v>
      </c>
      <c r="Q11" s="59"/>
      <c r="R11" s="59"/>
    </row>
    <row r="12" ht="60.0" customHeight="1">
      <c r="A12" s="58" t="s">
        <v>320</v>
      </c>
      <c r="B12" s="14" t="s">
        <v>148</v>
      </c>
      <c r="C12" s="7" t="str">
        <f t="array" ref="C12">IFERROR(INDEX(EDT!$C:$C,MATCH(B12,EDT!$A:$A,0)),"Código no existe")</f>
        <v>Servicio de integración con el modelo de lenguaje (Ollama)</v>
      </c>
      <c r="D12" s="7" t="s">
        <v>321</v>
      </c>
      <c r="E12" s="7" t="s">
        <v>322</v>
      </c>
      <c r="F12" s="7" t="s">
        <v>323</v>
      </c>
      <c r="G12" s="14">
        <v>4.0</v>
      </c>
      <c r="H12" s="14">
        <v>3.0</v>
      </c>
      <c r="I12" s="58">
        <f t="shared" si="1"/>
        <v>12</v>
      </c>
      <c r="J12" s="58" t="str">
        <f>IF(I12="","",IF(I12&gt;='Criterios de riesgo'!$A$19,'Criterios de riesgo'!$B$19,IF(I12&gt;='Criterios de riesgo'!$A$20,'Criterios de riesgo'!$B$20,IF(I12&gt;='Criterios de riesgo'!$A$21,'Criterios de riesgo'!$B$21,'Criterios de riesgo'!$B$22))))</f>
        <v>Alta</v>
      </c>
      <c r="K12" s="14" t="s">
        <v>233</v>
      </c>
      <c r="L12" s="7" t="s">
        <v>325</v>
      </c>
      <c r="M12" s="7" t="s">
        <v>326</v>
      </c>
      <c r="N12" s="7" t="s">
        <v>42</v>
      </c>
      <c r="O12" s="14" t="s">
        <v>115</v>
      </c>
      <c r="P12" s="14" t="s">
        <v>265</v>
      </c>
      <c r="Q12" s="59"/>
      <c r="R12" s="59"/>
    </row>
    <row r="13" ht="60.0" customHeight="1">
      <c r="A13" s="58" t="s">
        <v>327</v>
      </c>
      <c r="B13" s="14" t="s">
        <v>126</v>
      </c>
      <c r="C13" s="7" t="str">
        <f t="array" ref="C13">IFERROR(INDEX(EDT!$C:$C,MATCH(B13,EDT!$A:$A,0)),"Código no existe")</f>
        <v>Catálogo y búsqueda de libros</v>
      </c>
      <c r="D13" s="7" t="s">
        <v>329</v>
      </c>
      <c r="E13" s="7" t="s">
        <v>322</v>
      </c>
      <c r="F13" s="7" t="s">
        <v>323</v>
      </c>
      <c r="G13" s="14">
        <v>3.0</v>
      </c>
      <c r="H13" s="14">
        <v>3.0</v>
      </c>
      <c r="I13" s="58">
        <f t="shared" si="1"/>
        <v>9</v>
      </c>
      <c r="J13" s="58" t="str">
        <f>IF(I13="","",IF(I13&gt;='Criterios de riesgo'!$A$19,'Criterios de riesgo'!$B$19,IF(I13&gt;='Criterios de riesgo'!$A$20,'Criterios de riesgo'!$B$20,IF(I13&gt;='Criterios de riesgo'!$A$21,'Criterios de riesgo'!$B$21,'Criterios de riesgo'!$B$22))))</f>
        <v>Media</v>
      </c>
      <c r="K13" s="14" t="s">
        <v>233</v>
      </c>
      <c r="L13" s="7" t="s">
        <v>332</v>
      </c>
      <c r="M13" s="7" t="s">
        <v>333</v>
      </c>
      <c r="N13" s="7" t="s">
        <v>42</v>
      </c>
      <c r="O13" s="14" t="s">
        <v>110</v>
      </c>
      <c r="P13" s="14" t="s">
        <v>265</v>
      </c>
      <c r="Q13" s="59"/>
      <c r="R13" s="59"/>
    </row>
    <row r="14" ht="90.0" customHeight="1">
      <c r="A14" s="58" t="s">
        <v>336</v>
      </c>
      <c r="B14" s="14" t="s">
        <v>158</v>
      </c>
      <c r="C14" s="7" t="str">
        <f t="array" ref="C14">IFERROR(INDEX(EDT!$C:$C,MATCH(B14,EDT!$A:$A,0)),"Código no existe")</f>
        <v>Seguridad y protección de datos</v>
      </c>
      <c r="D14" s="7" t="s">
        <v>337</v>
      </c>
      <c r="E14" s="7" t="s">
        <v>322</v>
      </c>
      <c r="F14" s="7" t="s">
        <v>334</v>
      </c>
      <c r="G14" s="14">
        <v>5.0</v>
      </c>
      <c r="H14" s="14">
        <v>2.0</v>
      </c>
      <c r="I14" s="58">
        <f t="shared" si="1"/>
        <v>10</v>
      </c>
      <c r="J14" s="58" t="str">
        <f>IF(I14="","",IF(I14&gt;='Criterios de riesgo'!$A$19,'Criterios de riesgo'!$B$19,IF(I14&gt;='Criterios de riesgo'!$A$20,'Criterios de riesgo'!$B$20,IF(I14&gt;='Criterios de riesgo'!$A$21,'Criterios de riesgo'!$B$21,'Criterios de riesgo'!$B$22))))</f>
        <v>Alta</v>
      </c>
      <c r="K14" s="14" t="s">
        <v>233</v>
      </c>
      <c r="L14" s="7" t="s">
        <v>343</v>
      </c>
      <c r="M14" s="7" t="s">
        <v>344</v>
      </c>
      <c r="N14" s="7" t="s">
        <v>42</v>
      </c>
      <c r="O14" s="14" t="s">
        <v>318</v>
      </c>
      <c r="P14" s="14" t="s">
        <v>265</v>
      </c>
      <c r="Q14" s="59"/>
      <c r="R14" s="59"/>
    </row>
    <row r="15" ht="45.0" customHeight="1">
      <c r="A15" s="58" t="s">
        <v>345</v>
      </c>
      <c r="B15" s="14" t="s">
        <v>133</v>
      </c>
      <c r="C15" s="7" t="str">
        <f t="array" ref="C15">IFERROR(INDEX(EDT!$C:$C,MATCH(B15,EDT!$A:$A,0)),"Código no existe")</f>
        <v>Extracción de datos operacionales</v>
      </c>
      <c r="D15" s="7" t="s">
        <v>346</v>
      </c>
      <c r="E15" s="7" t="s">
        <v>322</v>
      </c>
      <c r="F15" s="7" t="s">
        <v>338</v>
      </c>
      <c r="G15" s="14">
        <v>3.0</v>
      </c>
      <c r="H15" s="14">
        <v>4.0</v>
      </c>
      <c r="I15" s="58">
        <f t="shared" si="1"/>
        <v>12</v>
      </c>
      <c r="J15" s="58" t="str">
        <f>IF(I15="","",IF(I15&gt;='Criterios de riesgo'!$A$19,'Criterios de riesgo'!$B$19,IF(I15&gt;='Criterios de riesgo'!$A$20,'Criterios de riesgo'!$B$20,IF(I15&gt;='Criterios de riesgo'!$A$21,'Criterios de riesgo'!$B$21,'Criterios de riesgo'!$B$22))))</f>
        <v>Alta</v>
      </c>
      <c r="K15" s="14" t="s">
        <v>238</v>
      </c>
      <c r="L15" s="7" t="s">
        <v>348</v>
      </c>
      <c r="M15" s="7" t="s">
        <v>349</v>
      </c>
      <c r="N15" s="7" t="s">
        <v>59</v>
      </c>
      <c r="O15" s="14" t="s">
        <v>115</v>
      </c>
      <c r="P15" s="14" t="s">
        <v>265</v>
      </c>
      <c r="Q15" s="59"/>
      <c r="R15" s="59"/>
    </row>
    <row r="16" ht="75.0" customHeight="1">
      <c r="A16" s="58" t="s">
        <v>351</v>
      </c>
      <c r="B16" s="14" t="s">
        <v>90</v>
      </c>
      <c r="C16" s="7" t="str">
        <f t="array" ref="C16">IFERROR(INDEX(EDT!$C:$C,MATCH(B16,EDT!$A:$A,0)),"Código no existe")</f>
        <v>Asignación de roles y responsabilidades</v>
      </c>
      <c r="D16" s="7" t="s">
        <v>352</v>
      </c>
      <c r="E16" s="7" t="s">
        <v>353</v>
      </c>
      <c r="F16" s="7" t="s">
        <v>341</v>
      </c>
      <c r="G16" s="14">
        <v>4.0</v>
      </c>
      <c r="H16" s="14">
        <v>3.0</v>
      </c>
      <c r="I16" s="58">
        <f t="shared" si="1"/>
        <v>12</v>
      </c>
      <c r="J16" s="58" t="str">
        <f>IF(I16="","",IF(I16&gt;='Criterios de riesgo'!$A$19,'Criterios de riesgo'!$B$19,IF(I16&gt;='Criterios de riesgo'!$A$20,'Criterios de riesgo'!$B$20,IF(I16&gt;='Criterios de riesgo'!$A$21,'Criterios de riesgo'!$B$21,'Criterios de riesgo'!$B$22))))</f>
        <v>Alta</v>
      </c>
      <c r="K16" s="14" t="s">
        <v>233</v>
      </c>
      <c r="L16" s="7" t="s">
        <v>357</v>
      </c>
      <c r="M16" s="7" t="s">
        <v>358</v>
      </c>
      <c r="N16" s="7" t="s">
        <v>59</v>
      </c>
      <c r="O16" s="14" t="s">
        <v>318</v>
      </c>
      <c r="P16" s="14" t="s">
        <v>265</v>
      </c>
      <c r="Q16" s="59"/>
      <c r="R16" s="59"/>
    </row>
    <row r="17" ht="60.0" customHeight="1">
      <c r="A17" s="58" t="s">
        <v>359</v>
      </c>
      <c r="B17" s="14" t="s">
        <v>121</v>
      </c>
      <c r="C17" s="7" t="str">
        <f t="array" ref="C17">IFERROR(INDEX(EDT!$C:$C,MATCH(B17,EDT!$A:$A,0)),"Código no existe")</f>
        <v>Autenticación, usuarios y perfil lector</v>
      </c>
      <c r="D17" s="7" t="s">
        <v>360</v>
      </c>
      <c r="E17" s="7" t="s">
        <v>353</v>
      </c>
      <c r="F17" s="7" t="s">
        <v>341</v>
      </c>
      <c r="G17" s="14">
        <v>3.0</v>
      </c>
      <c r="H17" s="14">
        <v>3.0</v>
      </c>
      <c r="I17" s="58">
        <f t="shared" si="1"/>
        <v>9</v>
      </c>
      <c r="J17" s="58" t="str">
        <f>IF(I17="","",IF(I17&gt;='Criterios de riesgo'!$A$19,'Criterios de riesgo'!$B$19,IF(I17&gt;='Criterios de riesgo'!$A$20,'Criterios de riesgo'!$B$20,IF(I17&gt;='Criterios de riesgo'!$A$21,'Criterios de riesgo'!$B$21,'Criterios de riesgo'!$B$22))))</f>
        <v>Media</v>
      </c>
      <c r="K17" s="14" t="s">
        <v>233</v>
      </c>
      <c r="L17" s="7" t="s">
        <v>365</v>
      </c>
      <c r="M17" s="7" t="s">
        <v>366</v>
      </c>
      <c r="N17" s="7" t="s">
        <v>42</v>
      </c>
      <c r="O17" s="14" t="s">
        <v>110</v>
      </c>
      <c r="P17" s="14" t="s">
        <v>265</v>
      </c>
      <c r="Q17" s="59"/>
      <c r="R17" s="59"/>
    </row>
    <row r="18" ht="60.0" customHeight="1">
      <c r="A18" s="58" t="s">
        <v>367</v>
      </c>
      <c r="B18" s="14" t="s">
        <v>71</v>
      </c>
      <c r="C18" s="7" t="str">
        <f t="array" ref="C18">IFERROR(INDEX(EDT!$C:$C,MATCH(B18,EDT!$A:$A,0)),"Código no existe")</f>
        <v>Definición de alcance y backlog del MVP</v>
      </c>
      <c r="D18" s="7" t="s">
        <v>369</v>
      </c>
      <c r="E18" s="7" t="s">
        <v>370</v>
      </c>
      <c r="F18" s="7" t="s">
        <v>361</v>
      </c>
      <c r="G18" s="14">
        <v>5.0</v>
      </c>
      <c r="H18" s="14">
        <v>4.0</v>
      </c>
      <c r="I18" s="58">
        <f t="shared" si="1"/>
        <v>20</v>
      </c>
      <c r="J18" s="58" t="str">
        <f>IF(I18="","",IF(I18&gt;='Criterios de riesgo'!$A$19,'Criterios de riesgo'!$B$19,IF(I18&gt;='Criterios de riesgo'!$A$20,'Criterios de riesgo'!$B$20,IF(I18&gt;='Criterios de riesgo'!$A$21,'Criterios de riesgo'!$B$21,'Criterios de riesgo'!$B$22))))</f>
        <v>Extrema</v>
      </c>
      <c r="K18" s="14" t="s">
        <v>230</v>
      </c>
      <c r="L18" s="7" t="s">
        <v>371</v>
      </c>
      <c r="M18" s="7" t="s">
        <v>372</v>
      </c>
      <c r="N18" s="7" t="s">
        <v>59</v>
      </c>
      <c r="O18" s="14" t="s">
        <v>318</v>
      </c>
      <c r="P18" s="14" t="s">
        <v>374</v>
      </c>
      <c r="Q18" s="59"/>
      <c r="R18" s="59"/>
    </row>
    <row r="19" ht="60.0" customHeight="1">
      <c r="A19" s="58" t="s">
        <v>375</v>
      </c>
      <c r="B19" s="14" t="s">
        <v>86</v>
      </c>
      <c r="C19" s="7" t="str">
        <f t="array" ref="C19">IFERROR(INDEX(EDT!$C:$C,MATCH(B19,EDT!$A:$A,0)),"Código no existe")</f>
        <v>Plan de trabajo y carta Gantt</v>
      </c>
      <c r="D19" s="7" t="s">
        <v>376</v>
      </c>
      <c r="E19" s="7" t="s">
        <v>370</v>
      </c>
      <c r="F19" s="7" t="s">
        <v>355</v>
      </c>
      <c r="G19" s="14">
        <v>4.0</v>
      </c>
      <c r="H19" s="14">
        <v>4.0</v>
      </c>
      <c r="I19" s="58">
        <f t="shared" si="1"/>
        <v>16</v>
      </c>
      <c r="J19" s="58" t="str">
        <f>IF(I19="","",IF(I19&gt;='Criterios de riesgo'!$A$19,'Criterios de riesgo'!$B$19,IF(I19&gt;='Criterios de riesgo'!$A$20,'Criterios de riesgo'!$B$20,IF(I19&gt;='Criterios de riesgo'!$A$21,'Criterios de riesgo'!$B$21,'Criterios de riesgo'!$B$22))))</f>
        <v>Extrema</v>
      </c>
      <c r="K19" s="14" t="s">
        <v>233</v>
      </c>
      <c r="L19" s="7" t="s">
        <v>377</v>
      </c>
      <c r="M19" s="7" t="s">
        <v>378</v>
      </c>
      <c r="N19" s="7" t="s">
        <v>59</v>
      </c>
      <c r="O19" s="14" t="s">
        <v>110</v>
      </c>
      <c r="P19" s="14" t="s">
        <v>374</v>
      </c>
      <c r="Q19" s="59"/>
      <c r="R19" s="59"/>
    </row>
    <row r="20" ht="75.0" customHeight="1">
      <c r="A20" s="58" t="s">
        <v>379</v>
      </c>
      <c r="B20" s="14" t="s">
        <v>99</v>
      </c>
      <c r="C20" s="7" t="str">
        <f t="array" ref="C20">IFERROR(INDEX(EDT!$C:$C,MATCH(B20,EDT!$A:$A,0)),"Código no existe")</f>
        <v>Seguimiento y control del avance</v>
      </c>
      <c r="D20" s="7" t="s">
        <v>380</v>
      </c>
      <c r="E20" s="7" t="s">
        <v>370</v>
      </c>
      <c r="F20" s="7" t="s">
        <v>363</v>
      </c>
      <c r="G20" s="14">
        <v>3.0</v>
      </c>
      <c r="H20" s="14">
        <v>2.0</v>
      </c>
      <c r="I20" s="58">
        <f t="shared" si="1"/>
        <v>6</v>
      </c>
      <c r="J20" s="58" t="str">
        <f>IF(I20="","",IF(I20&gt;='Criterios de riesgo'!$A$19,'Criterios de riesgo'!$B$19,IF(I20&gt;='Criterios de riesgo'!$A$20,'Criterios de riesgo'!$B$20,IF(I20&gt;='Criterios de riesgo'!$A$21,'Criterios de riesgo'!$B$21,'Criterios de riesgo'!$B$22))))</f>
        <v>Media</v>
      </c>
      <c r="K20" s="14" t="s">
        <v>233</v>
      </c>
      <c r="L20" s="7" t="s">
        <v>381</v>
      </c>
      <c r="M20" s="7" t="s">
        <v>382</v>
      </c>
      <c r="N20" s="7" t="s">
        <v>59</v>
      </c>
      <c r="O20" s="14" t="s">
        <v>318</v>
      </c>
      <c r="P20" s="14" t="s">
        <v>265</v>
      </c>
      <c r="Q20" s="59"/>
      <c r="R20" s="59"/>
    </row>
    <row r="21" ht="12.75" customHeight="1">
      <c r="A21" s="68"/>
      <c r="B21" s="68"/>
      <c r="C21" s="69"/>
      <c r="D21" s="68"/>
      <c r="E21" s="68"/>
      <c r="F21" s="68"/>
      <c r="G21" s="68"/>
      <c r="H21" s="68"/>
      <c r="I21" s="70"/>
      <c r="J21" s="70"/>
      <c r="K21" s="68"/>
      <c r="L21" s="68"/>
      <c r="M21" s="68"/>
      <c r="N21" s="68"/>
      <c r="O21" s="68"/>
      <c r="P21" s="68"/>
      <c r="R21" s="71"/>
    </row>
    <row r="22" ht="12.75" customHeight="1">
      <c r="A22" s="68"/>
      <c r="B22" s="68"/>
      <c r="C22" s="69"/>
      <c r="D22" s="68"/>
      <c r="E22" s="68"/>
      <c r="F22" s="68"/>
      <c r="G22" s="68"/>
      <c r="H22" s="68"/>
      <c r="I22" s="70"/>
      <c r="J22" s="70"/>
      <c r="K22" s="68"/>
      <c r="L22" s="68"/>
      <c r="M22" s="68"/>
      <c r="N22" s="68"/>
      <c r="O22" s="68"/>
      <c r="P22" s="68"/>
      <c r="R22" s="71"/>
    </row>
    <row r="23" ht="12.75" customHeight="1">
      <c r="A23" s="68"/>
      <c r="B23" s="68"/>
      <c r="C23" s="69"/>
      <c r="D23" s="68"/>
      <c r="E23" s="68"/>
      <c r="F23" s="68"/>
      <c r="G23" s="68"/>
      <c r="H23" s="68"/>
      <c r="I23" s="70"/>
      <c r="J23" s="70"/>
      <c r="K23" s="68"/>
      <c r="L23" s="68"/>
      <c r="M23" s="68"/>
      <c r="N23" s="68"/>
      <c r="O23" s="68"/>
      <c r="P23" s="68"/>
      <c r="R23" s="71"/>
    </row>
    <row r="24" ht="12.75" customHeight="1">
      <c r="A24" s="68"/>
      <c r="B24" s="68"/>
      <c r="C24" s="69"/>
      <c r="D24" s="68"/>
      <c r="E24" s="68"/>
      <c r="F24" s="68"/>
      <c r="G24" s="68"/>
      <c r="H24" s="68"/>
      <c r="I24" s="70"/>
      <c r="J24" s="70"/>
      <c r="K24" s="68"/>
      <c r="L24" s="68"/>
      <c r="M24" s="68"/>
      <c r="N24" s="68"/>
      <c r="O24" s="68"/>
      <c r="P24" s="68"/>
      <c r="R24" s="7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4:$S$24"/>
  <conditionalFormatting sqref="J5:J24">
    <cfRule type="cellIs" dxfId="7" priority="1" operator="equal">
      <formula>"Extrema"</formula>
    </cfRule>
  </conditionalFormatting>
  <conditionalFormatting sqref="J5:J24">
    <cfRule type="cellIs" dxfId="8" priority="2" operator="equal">
      <formula>"Alta"</formula>
    </cfRule>
  </conditionalFormatting>
  <conditionalFormatting sqref="J5:J24">
    <cfRule type="cellIs" dxfId="9" priority="3" operator="equal">
      <formula>"Media"</formula>
    </cfRule>
  </conditionalFormatting>
  <conditionalFormatting sqref="J5:J24">
    <cfRule type="cellIs" dxfId="10" priority="4" operator="equal">
      <formula>"Baja"</formula>
    </cfRule>
  </conditionalFormatting>
  <dataValidations>
    <dataValidation type="list" allowBlank="1" sqref="P5:P24">
      <formula1>"Abierto,En monitoreo,Materializado,Cerrado"</formula1>
    </dataValidation>
    <dataValidation type="list" allowBlank="1" sqref="B5:B24">
      <formula1>EDT!$A$5:$A$41</formula1>
    </dataValidation>
    <dataValidation type="list" allowBlank="1" sqref="N5:N24">
      <formula1>"Josyan Bonnemaison,Nicole Marchant,Katherine Rubilar"</formula1>
    </dataValidation>
    <dataValidation type="list" allowBlank="1" sqref="O5:O24">
      <formula1>"Fase 1,Fase 2,Fase 3,Todas"</formula1>
    </dataValidation>
    <dataValidation type="decimal" allowBlank="1" sqref="G5:H24">
      <formula1>1.0</formula1>
      <formula2>5.0</formula2>
    </dataValidation>
    <dataValidation type="list" allowBlank="1" sqref="K5:K24">
      <formula1>"Evitar,Mitigar,Transferir,Aceptar"</formula1>
    </dataValidation>
    <dataValidation type="list" allowBlank="1" sqref="E5:E24">
      <formula1>"Técnicos,Externos,Organizacionales,Gestión de proyecto"</formula1>
    </dataValidation>
    <dataValidation type="list" allowBlank="1" sqref="R21:R24">
      <formula1>"Pendiente evaluación,Extrema,Alta,Media,Baja"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2" width="14.0"/>
    <col customWidth="1" min="3" max="7" width="16.0"/>
    <col customWidth="1" min="8" max="26" width="8.75"/>
  </cols>
  <sheetData>
    <row r="1" ht="18.0" customHeight="1">
      <c r="A1" s="1" t="s">
        <v>266</v>
      </c>
    </row>
    <row r="2" ht="12.75" customHeight="1">
      <c r="A2" s="2" t="s">
        <v>267</v>
      </c>
    </row>
    <row r="3" ht="12.75" customHeight="1"/>
    <row r="4" ht="15.0" customHeight="1">
      <c r="C4" s="60" t="s">
        <v>268</v>
      </c>
      <c r="D4" s="41"/>
      <c r="E4" s="41"/>
      <c r="F4" s="41"/>
      <c r="G4" s="42"/>
    </row>
    <row r="5" ht="12.75" customHeight="1">
      <c r="C5" s="11" t="s">
        <v>270</v>
      </c>
      <c r="D5" s="11" t="s">
        <v>271</v>
      </c>
      <c r="E5" s="11" t="s">
        <v>272</v>
      </c>
      <c r="F5" s="11" t="s">
        <v>273</v>
      </c>
      <c r="G5" s="11" t="s">
        <v>274</v>
      </c>
    </row>
    <row r="6" ht="48.0" customHeight="1">
      <c r="A6" s="61" t="s">
        <v>275</v>
      </c>
      <c r="B6" s="11" t="s">
        <v>276</v>
      </c>
      <c r="C6" s="65" t="str">
        <f t="array" ref="C6">TEXTJOIN(", ",TRUE(),IF(('Registro de riesgos'!$G$5:$G$24=1)*('Registro de riesgos'!$H$5:$H$24=5),'Registro de riesgos'!$A$5:$A$24,""))</f>
        <v/>
      </c>
      <c r="D6" s="49" t="str">
        <f t="array" ref="D6">TEXTJOIN(", ",TRUE(),IF(('Registro de riesgos'!$G$5:$G$24=2)*('Registro de riesgos'!$H$5:$H$24=5),'Registro de riesgos'!$A$5:$A$24,""))</f>
        <v/>
      </c>
      <c r="E6" s="48" t="str">
        <f t="array" ref="E6">TEXTJOIN(", ",TRUE(),IF(('Registro de riesgos'!$G$5:$G$24=3)*('Registro de riesgos'!$H$5:$H$24=5),'Registro de riesgos'!$A$5:$A$24,""))</f>
        <v/>
      </c>
      <c r="F6" s="48" t="str">
        <f t="array" ref="F6">TEXTJOIN(", ",TRUE(),IF(('Registro de riesgos'!$G$5:$G$24=4)*('Registro de riesgos'!$H$5:$H$24=5),'Registro de riesgos'!$A$5:$A$24,""))</f>
        <v/>
      </c>
      <c r="G6" s="48" t="str">
        <f t="array" ref="G6">TEXTJOIN(", ",TRUE(),IF(('Registro de riesgos'!$G$5:$G$24=5)*('Registro de riesgos'!$H$5:$H$24=5),'Registro de riesgos'!$A$5:$A$24,""))</f>
        <v/>
      </c>
    </row>
    <row r="7" ht="48.0" customHeight="1">
      <c r="A7" s="72"/>
      <c r="B7" s="11" t="s">
        <v>383</v>
      </c>
      <c r="C7" s="51" t="str">
        <f t="array" ref="C7">TEXTJOIN(", ",TRUE(),IF(('Registro de riesgos'!$G$5:$G$24=1)*('Registro de riesgos'!$H$5:$H$24=4),'Registro de riesgos'!$A$5:$A$24,""))</f>
        <v/>
      </c>
      <c r="D7" s="65" t="str">
        <f t="array" ref="D7">TEXTJOIN(", ",TRUE(),IF(('Registro de riesgos'!$G$5:$G$24=2)*('Registro de riesgos'!$H$5:$H$24=4),'Registro de riesgos'!$A$5:$A$24,""))</f>
        <v/>
      </c>
      <c r="E7" s="49" t="str">
        <f t="array" ref="E7">TEXTJOIN(", ",TRUE(),IF(('Registro de riesgos'!$G$5:$G$24=3)*('Registro de riesgos'!$H$5:$H$24=4),'Registro de riesgos'!$A$5:$A$24,""))</f>
        <v>R-11</v>
      </c>
      <c r="F7" s="48" t="str">
        <f t="array" ref="F7">TEXTJOIN(", ",TRUE(),IF(('Registro de riesgos'!$G$5:$G$24=4)*('Registro de riesgos'!$H$5:$H$24=4),'Registro de riesgos'!$A$5:$A$24,""))</f>
        <v>R-15</v>
      </c>
      <c r="G7" s="48" t="str">
        <f t="array" ref="G7">TEXTJOIN(", ",TRUE(),IF(('Registro de riesgos'!$G$5:$G$24=5)*('Registro de riesgos'!$H$5:$H$24=4),'Registro de riesgos'!$A$5:$A$24,""))</f>
        <v>R-14</v>
      </c>
    </row>
    <row r="8" ht="48.0" customHeight="1">
      <c r="A8" s="72"/>
      <c r="B8" s="11" t="s">
        <v>384</v>
      </c>
      <c r="C8" s="51" t="str">
        <f t="array" ref="C8">TEXTJOIN(", ",TRUE(),IF(('Registro de riesgos'!$G$5:$G$24=1)*('Registro de riesgos'!$H$5:$H$24=3),'Registro de riesgos'!$A$5:$A$24,""))</f>
        <v/>
      </c>
      <c r="D8" s="65" t="str">
        <f t="array" ref="D8">TEXTJOIN(", ",TRUE(),IF(('Registro de riesgos'!$G$5:$G$24=2)*('Registro de riesgos'!$H$5:$H$24=3),'Registro de riesgos'!$A$5:$A$24,""))</f>
        <v/>
      </c>
      <c r="E8" s="65" t="str">
        <f t="array" ref="E8">TEXTJOIN(", ",TRUE(),IF(('Registro de riesgos'!$G$5:$G$24=3)*('Registro de riesgos'!$H$5:$H$24=3),'Registro de riesgos'!$A$5:$A$24,""))</f>
        <v>R-06, R-09, R-13</v>
      </c>
      <c r="F8" s="49" t="str">
        <f t="array" ref="F8">TEXTJOIN(", ",TRUE(),IF(('Registro de riesgos'!$G$5:$G$24=4)*('Registro de riesgos'!$H$5:$H$24=3),'Registro de riesgos'!$A$5:$A$24,""))</f>
        <v>R-01, R-02, R-03, R-04, R-08, R-12</v>
      </c>
      <c r="G8" s="48" t="str">
        <f t="array" ref="G8">TEXTJOIN(", ",TRUE(),IF(('Registro de riesgos'!$G$5:$G$24=5)*('Registro de riesgos'!$H$5:$H$24=3),'Registro de riesgos'!$A$5:$A$24,""))</f>
        <v>R-05</v>
      </c>
    </row>
    <row r="9" ht="48.0" customHeight="1">
      <c r="A9" s="72"/>
      <c r="B9" s="11" t="s">
        <v>385</v>
      </c>
      <c r="C9" s="51" t="str">
        <f t="array" ref="C9">TEXTJOIN(", ",TRUE(),IF(('Registro de riesgos'!$G$5:$G$24=1)*('Registro de riesgos'!$H$5:$H$24=2),'Registro de riesgos'!$A$5:$A$24,""))</f>
        <v/>
      </c>
      <c r="D9" s="51" t="str">
        <f t="array" ref="D9">TEXTJOIN(", ",TRUE(),IF(('Registro de riesgos'!$G$5:$G$24=2)*('Registro de riesgos'!$H$5:$H$24=2),'Registro de riesgos'!$A$5:$A$24,""))</f>
        <v/>
      </c>
      <c r="E9" s="65" t="str">
        <f t="array" ref="E9">TEXTJOIN(", ",TRUE(),IF(('Registro de riesgos'!$G$5:$G$24=3)*('Registro de riesgos'!$H$5:$H$24=2),'Registro de riesgos'!$A$5:$A$24,""))</f>
        <v>R-07, R-16</v>
      </c>
      <c r="F9" s="65" t="str">
        <f t="array" ref="F9">TEXTJOIN(", ",TRUE(),IF(('Registro de riesgos'!$G$5:$G$24=4)*('Registro de riesgos'!$H$5:$H$24=2),'Registro de riesgos'!$A$5:$A$24,""))</f>
        <v/>
      </c>
      <c r="G9" s="49" t="str">
        <f t="array" ref="G9">TEXTJOIN(", ",TRUE(),IF(('Registro de riesgos'!$G$5:$G$24=5)*('Registro de riesgos'!$H$5:$H$24=2),'Registro de riesgos'!$A$5:$A$24,""))</f>
        <v>R-10</v>
      </c>
    </row>
    <row r="10" ht="48.0" customHeight="1">
      <c r="A10" s="73"/>
      <c r="B10" s="11" t="s">
        <v>386</v>
      </c>
      <c r="C10" s="51" t="str">
        <f t="array" ref="C10">TEXTJOIN(", ",TRUE(),IF(('Registro de riesgos'!$G$5:$G$24=1)*('Registro de riesgos'!$H$5:$H$24=1),'Registro de riesgos'!$A$5:$A$24,""))</f>
        <v/>
      </c>
      <c r="D10" s="51" t="str">
        <f t="array" ref="D10">TEXTJOIN(", ",TRUE(),IF(('Registro de riesgos'!$G$5:$G$24=2)*('Registro de riesgos'!$H$5:$H$24=1),'Registro de riesgos'!$A$5:$A$24,""))</f>
        <v/>
      </c>
      <c r="E10" s="51" t="str">
        <f t="array" ref="E10">TEXTJOIN(", ",TRUE(),IF(('Registro de riesgos'!$G$5:$G$24=3)*('Registro de riesgos'!$H$5:$H$24=1),'Registro de riesgos'!$A$5:$A$24,""))</f>
        <v/>
      </c>
      <c r="F10" s="51" t="str">
        <f t="array" ref="F10">TEXTJOIN(", ",TRUE(),IF(('Registro de riesgos'!$G$5:$G$24=4)*('Registro de riesgos'!$H$5:$H$24=1),'Registro de riesgos'!$A$5:$A$24,""))</f>
        <v/>
      </c>
      <c r="G10" s="65" t="str">
        <f t="array" ref="G10">TEXTJOIN(", ",TRUE(),IF(('Registro de riesgos'!$G$5:$G$24=5)*('Registro de riesgos'!$H$5:$H$24=1),'Registro de riesgos'!$A$5:$A$24,""))</f>
        <v/>
      </c>
    </row>
    <row r="11" ht="12.75" customHeight="1"/>
    <row r="12" ht="12.75" customHeight="1">
      <c r="B12" s="9" t="s">
        <v>387</v>
      </c>
      <c r="C12" s="11" t="s">
        <v>299</v>
      </c>
    </row>
    <row r="13" ht="12.75" customHeight="1">
      <c r="B13" s="48" t="s">
        <v>222</v>
      </c>
      <c r="C13" s="34">
        <f>COUNTIF('Registro de riesgos'!$J$5:$J$24,B13)</f>
        <v>3</v>
      </c>
    </row>
    <row r="14" ht="12.75" customHeight="1">
      <c r="B14" s="49" t="s">
        <v>197</v>
      </c>
      <c r="C14" s="34">
        <f>COUNTIF('Registro de riesgos'!$J$5:$J$24,B14)</f>
        <v>8</v>
      </c>
    </row>
    <row r="15" ht="12.75" customHeight="1">
      <c r="B15" s="65" t="s">
        <v>199</v>
      </c>
      <c r="C15" s="34">
        <f>COUNTIF('Registro de riesgos'!$J$5:$J$24,B15)</f>
        <v>5</v>
      </c>
    </row>
    <row r="16" ht="12.75" customHeight="1">
      <c r="B16" s="51" t="s">
        <v>201</v>
      </c>
      <c r="C16" s="34">
        <f>COUNTIF('Registro de riesgos'!$J$5:$J$24,B16)</f>
        <v>0</v>
      </c>
    </row>
    <row r="17" ht="12.75" customHeight="1">
      <c r="B17" s="52" t="s">
        <v>373</v>
      </c>
      <c r="C17" s="67">
        <f>SUM(C13:C16)</f>
        <v>16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4:G4"/>
    <mergeCell ref="A6:A10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4.0"/>
    <col customWidth="1" min="3" max="3" width="44.0"/>
    <col customWidth="1" min="4" max="4" width="14.0"/>
    <col customWidth="1" min="5" max="5" width="16.0"/>
    <col customWidth="1" min="6" max="26" width="8.75"/>
  </cols>
  <sheetData>
    <row r="1" ht="18.0" customHeight="1">
      <c r="A1" s="1" t="s">
        <v>292</v>
      </c>
    </row>
    <row r="2" ht="12.75" customHeight="1">
      <c r="A2" s="2" t="s">
        <v>293</v>
      </c>
    </row>
    <row r="3" ht="12.75" customHeight="1"/>
    <row r="4" ht="25.5" customHeight="1">
      <c r="A4" s="5" t="s">
        <v>296</v>
      </c>
      <c r="B4" s="5" t="s">
        <v>297</v>
      </c>
      <c r="C4" s="5" t="s">
        <v>298</v>
      </c>
      <c r="D4" s="5" t="s">
        <v>299</v>
      </c>
      <c r="E4" s="5" t="s">
        <v>300</v>
      </c>
    </row>
    <row r="5" ht="15.0" customHeight="1">
      <c r="A5" s="62" t="s">
        <v>301</v>
      </c>
      <c r="B5" s="10" t="s">
        <v>262</v>
      </c>
      <c r="C5" s="10" t="s">
        <v>302</v>
      </c>
      <c r="D5" s="34">
        <f>COUNTIFS('Registro de riesgos'!$E$5:$E$24,"Técnicos",'Registro de riesgos'!$F$5:$F$24,B5)</f>
        <v>1</v>
      </c>
      <c r="E5" s="34">
        <f>IF(D5=0,"",MAXIFS('Registro de riesgos'!$I$5:$I$24,'Registro de riesgos'!$E$5:$E$24,"Técnicos",'Registro de riesgos'!$F$5:$F$24,B5))</f>
        <v>12</v>
      </c>
    </row>
    <row r="6" ht="12.75" customHeight="1">
      <c r="A6" s="63"/>
      <c r="B6" s="10" t="s">
        <v>278</v>
      </c>
      <c r="C6" s="10" t="s">
        <v>306</v>
      </c>
      <c r="D6" s="34">
        <f>COUNTIFS('Registro de riesgos'!$E$5:$E$24,"Técnicos",'Registro de riesgos'!$F$5:$F$24,B6)</f>
        <v>1</v>
      </c>
      <c r="E6" s="34">
        <f>IF(D6=0,"",MAXIFS('Registro de riesgos'!$I$5:$I$24,'Registro de riesgos'!$E$5:$E$24,"Técnicos",'Registro de riesgos'!$F$5:$F$24,B6))</f>
        <v>12</v>
      </c>
    </row>
    <row r="7" ht="12.75" customHeight="1">
      <c r="A7" s="63"/>
      <c r="B7" s="10" t="s">
        <v>309</v>
      </c>
      <c r="C7" s="64" t="s">
        <v>310</v>
      </c>
      <c r="D7" s="34">
        <f>COUNTIFS('Registro de riesgos'!$E$5:$E$24,"Técnicos",'Registro de riesgos'!$F$5:$F$24,B7)</f>
        <v>0</v>
      </c>
      <c r="E7" s="34" t="str">
        <f>IF(D7=0,"",MAXIFS('Registro de riesgos'!$I$5:$I$24,'Registro de riesgos'!$E$5:$E$24,"Técnicos",'Registro de riesgos'!$F$5:$F$24,B7))</f>
        <v/>
      </c>
    </row>
    <row r="8" ht="12.75" customHeight="1">
      <c r="A8" s="63"/>
      <c r="B8" s="10" t="s">
        <v>283</v>
      </c>
      <c r="C8" s="10" t="s">
        <v>315</v>
      </c>
      <c r="D8" s="34">
        <f>COUNTIFS('Registro de riesgos'!$E$5:$E$24,"Técnicos",'Registro de riesgos'!$F$5:$F$24,B8)</f>
        <v>1</v>
      </c>
      <c r="E8" s="34">
        <f>IF(D8=0,"",MAXIFS('Registro de riesgos'!$I$5:$I$24,'Registro de riesgos'!$E$5:$E$24,"Técnicos",'Registro de riesgos'!$F$5:$F$24,B8))</f>
        <v>12</v>
      </c>
    </row>
    <row r="9" ht="12.75" customHeight="1">
      <c r="A9" s="63"/>
      <c r="B9" s="10" t="s">
        <v>308</v>
      </c>
      <c r="C9" s="10" t="s">
        <v>319</v>
      </c>
      <c r="D9" s="34">
        <f>COUNTIFS('Registro de riesgos'!$E$5:$E$24,"Técnicos",'Registro de riesgos'!$F$5:$F$24,B9)</f>
        <v>1</v>
      </c>
      <c r="E9" s="34">
        <f>IF(D9=0,"",MAXIFS('Registro de riesgos'!$I$5:$I$24,'Registro de riesgos'!$E$5:$E$24,"Técnicos",'Registro de riesgos'!$F$5:$F$24,B9))</f>
        <v>9</v>
      </c>
    </row>
    <row r="10" ht="30.0" customHeight="1">
      <c r="A10" s="63"/>
      <c r="B10" s="10" t="s">
        <v>295</v>
      </c>
      <c r="C10" s="10" t="s">
        <v>324</v>
      </c>
      <c r="D10" s="34">
        <f>COUNTIFS('Registro de riesgos'!$E$5:$E$24,"Técnicos",'Registro de riesgos'!$F$5:$F$24,B10)</f>
        <v>2</v>
      </c>
      <c r="E10" s="34">
        <f>IF(D10=0,"",MAXIFS('Registro de riesgos'!$I$5:$I$24,'Registro de riesgos'!$E$5:$E$24,"Técnicos",'Registro de riesgos'!$F$5:$F$24,B10))</f>
        <v>15</v>
      </c>
    </row>
    <row r="11" ht="12.75" customHeight="1">
      <c r="A11" s="66"/>
      <c r="B11" s="10" t="s">
        <v>288</v>
      </c>
      <c r="C11" s="10" t="s">
        <v>328</v>
      </c>
      <c r="D11" s="34">
        <f>COUNTIFS('Registro de riesgos'!$E$5:$E$24,"Técnicos",'Registro de riesgos'!$F$5:$F$24,B11)</f>
        <v>1</v>
      </c>
      <c r="E11" s="34">
        <f>IF(D11=0,"",MAXIFS('Registro de riesgos'!$I$5:$I$24,'Registro de riesgos'!$E$5:$E$24,"Técnicos",'Registro de riesgos'!$F$5:$F$24,B11))</f>
        <v>12</v>
      </c>
    </row>
    <row r="12" ht="30.0" customHeight="1">
      <c r="A12" s="62" t="s">
        <v>330</v>
      </c>
      <c r="B12" s="10" t="s">
        <v>323</v>
      </c>
      <c r="C12" s="10" t="s">
        <v>331</v>
      </c>
      <c r="D12" s="34">
        <f>COUNTIFS('Registro de riesgos'!$E$5:$E$24,"Externos",'Registro de riesgos'!$F$5:$F$24,B12)</f>
        <v>2</v>
      </c>
      <c r="E12" s="34">
        <f>IF(D12=0,"",MAXIFS('Registro de riesgos'!$I$5:$I$24,'Registro de riesgos'!$E$5:$E$24,"Externos",'Registro de riesgos'!$F$5:$F$24,B12))</f>
        <v>12</v>
      </c>
    </row>
    <row r="13" ht="12.75" customHeight="1">
      <c r="A13" s="63"/>
      <c r="B13" s="10" t="s">
        <v>334</v>
      </c>
      <c r="C13" s="10" t="s">
        <v>335</v>
      </c>
      <c r="D13" s="34">
        <f>COUNTIFS('Registro de riesgos'!$E$5:$E$24,"Externos",'Registro de riesgos'!$F$5:$F$24,B13)</f>
        <v>1</v>
      </c>
      <c r="E13" s="34">
        <f>IF(D13=0,"",MAXIFS('Registro de riesgos'!$I$5:$I$24,'Registro de riesgos'!$E$5:$E$24,"Externos",'Registro de riesgos'!$F$5:$F$24,B13))</f>
        <v>10</v>
      </c>
    </row>
    <row r="14" ht="12.75" customHeight="1">
      <c r="A14" s="66"/>
      <c r="B14" s="10" t="s">
        <v>338</v>
      </c>
      <c r="C14" s="10" t="s">
        <v>339</v>
      </c>
      <c r="D14" s="34">
        <f>COUNTIFS('Registro de riesgos'!$E$5:$E$24,"Externos",'Registro de riesgos'!$F$5:$F$24,B14)</f>
        <v>1</v>
      </c>
      <c r="E14" s="34">
        <f>IF(D14=0,"",MAXIFS('Registro de riesgos'!$I$5:$I$24,'Registro de riesgos'!$E$5:$E$24,"Externos",'Registro de riesgos'!$F$5:$F$24,B14))</f>
        <v>12</v>
      </c>
    </row>
    <row r="15" ht="30.0" customHeight="1">
      <c r="A15" s="62" t="s">
        <v>340</v>
      </c>
      <c r="B15" s="10" t="s">
        <v>341</v>
      </c>
      <c r="C15" s="10" t="s">
        <v>342</v>
      </c>
      <c r="D15" s="34">
        <f>COUNTIFS('Registro de riesgos'!$E$5:$E$24,"Organizacionales",'Registro de riesgos'!$F$5:$F$24,B15)</f>
        <v>2</v>
      </c>
      <c r="E15" s="34">
        <f>IF(D15=0,"",MAXIFS('Registro de riesgos'!$I$5:$I$24,'Registro de riesgos'!$E$5:$E$24,"Organizacionales",'Registro de riesgos'!$F$5:$F$24,B15))</f>
        <v>12</v>
      </c>
    </row>
    <row r="16" ht="12.75" customHeight="1">
      <c r="A16" s="63"/>
      <c r="B16" s="10" t="s">
        <v>347</v>
      </c>
      <c r="C16" s="64" t="s">
        <v>310</v>
      </c>
      <c r="D16" s="34">
        <f>COUNTIFS('Registro de riesgos'!$E$5:$E$24,"Organizacionales",'Registro de riesgos'!$F$5:$F$24,B16)</f>
        <v>0</v>
      </c>
      <c r="E16" s="34" t="str">
        <f>IF(D16=0,"",MAXIFS('Registro de riesgos'!$I$5:$I$24,'Registro de riesgos'!$E$5:$E$24,"Organizacionales",'Registro de riesgos'!$F$5:$F$24,B16))</f>
        <v/>
      </c>
    </row>
    <row r="17" ht="12.75" customHeight="1">
      <c r="A17" s="66"/>
      <c r="B17" s="10" t="s">
        <v>350</v>
      </c>
      <c r="C17" s="64" t="s">
        <v>310</v>
      </c>
      <c r="D17" s="34">
        <f>COUNTIFS('Registro de riesgos'!$E$5:$E$24,"Organizacionales",'Registro de riesgos'!$F$5:$F$24,B17)</f>
        <v>0</v>
      </c>
      <c r="E17" s="34" t="str">
        <f>IF(D17=0,"",MAXIFS('Registro de riesgos'!$I$5:$I$24,'Registro de riesgos'!$E$5:$E$24,"Organizacionales",'Registro de riesgos'!$F$5:$F$24,B17))</f>
        <v/>
      </c>
    </row>
    <row r="18" ht="15.0" customHeight="1">
      <c r="A18" s="62" t="s">
        <v>354</v>
      </c>
      <c r="B18" s="10" t="s">
        <v>355</v>
      </c>
      <c r="C18" s="10" t="s">
        <v>356</v>
      </c>
      <c r="D18" s="34">
        <f>COUNTIFS('Registro de riesgos'!$E$5:$E$24,"Gestión de proyecto",'Registro de riesgos'!$F$5:$F$24,B18)</f>
        <v>1</v>
      </c>
      <c r="E18" s="34">
        <f>IF(D18=0,"",MAXIFS('Registro de riesgos'!$I$5:$I$24,'Registro de riesgos'!$E$5:$E$24,"Gestión de proyecto",'Registro de riesgos'!$F$5:$F$24,B18))</f>
        <v>16</v>
      </c>
    </row>
    <row r="19" ht="12.75" customHeight="1">
      <c r="A19" s="63"/>
      <c r="B19" s="10" t="s">
        <v>361</v>
      </c>
      <c r="C19" s="10" t="s">
        <v>362</v>
      </c>
      <c r="D19" s="34">
        <f>COUNTIFS('Registro de riesgos'!$E$5:$E$24,"Gestión de proyecto",'Registro de riesgos'!$F$5:$F$24,B19)</f>
        <v>1</v>
      </c>
      <c r="E19" s="34">
        <f>IF(D19=0,"",MAXIFS('Registro de riesgos'!$I$5:$I$24,'Registro de riesgos'!$E$5:$E$24,"Gestión de proyecto",'Registro de riesgos'!$F$5:$F$24,B19))</f>
        <v>20</v>
      </c>
    </row>
    <row r="20" ht="12.75" customHeight="1">
      <c r="A20" s="63"/>
      <c r="B20" s="10" t="s">
        <v>363</v>
      </c>
      <c r="C20" s="10" t="s">
        <v>364</v>
      </c>
      <c r="D20" s="34">
        <f>COUNTIFS('Registro de riesgos'!$E$5:$E$24,"Gestión de proyecto",'Registro de riesgos'!$F$5:$F$24,B20)</f>
        <v>1</v>
      </c>
      <c r="E20" s="34">
        <f>IF(D20=0,"",MAXIFS('Registro de riesgos'!$I$5:$I$24,'Registro de riesgos'!$E$5:$E$24,"Gestión de proyecto",'Registro de riesgos'!$F$5:$F$24,B20))</f>
        <v>6</v>
      </c>
    </row>
    <row r="21" ht="12.75" customHeight="1">
      <c r="A21" s="66"/>
      <c r="B21" s="10" t="s">
        <v>368</v>
      </c>
      <c r="C21" s="64" t="s">
        <v>310</v>
      </c>
      <c r="D21" s="34">
        <f>COUNTIFS('Registro de riesgos'!$E$5:$E$24,"Gestión de proyecto",'Registro de riesgos'!$F$5:$F$24,B21)</f>
        <v>0</v>
      </c>
      <c r="E21" s="34" t="str">
        <f>IF(D21=0,"",MAXIFS('Registro de riesgos'!$I$5:$I$24,'Registro de riesgos'!$E$5:$E$24,"Gestión de proyecto",'Registro de riesgos'!$F$5:$F$24,B21))</f>
        <v/>
      </c>
    </row>
    <row r="22" ht="12.75" customHeight="1">
      <c r="A22" s="52" t="s">
        <v>373</v>
      </c>
      <c r="D22" s="67">
        <f>SUM(D5:D21)</f>
        <v>16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5:A11"/>
    <mergeCell ref="A12:A14"/>
    <mergeCell ref="A15:A17"/>
    <mergeCell ref="A18:A2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2026-09-28T20:54:43Z</dcterms:created>
  <dc:creator>openpyxl</dc:creator>
</cp:coreProperties>
</file>